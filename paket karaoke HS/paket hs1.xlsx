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908A7F6-C6E0-4F45-80C1-4E36402D2958}" xr6:coauthVersionLast="47" xr6:coauthVersionMax="47" xr10:uidLastSave="{00000000-0000-0000-0000-000000000000}"/>
  <bookViews>
    <workbookView xWindow="-120" yWindow="-120" windowWidth="20730" windowHeight="11160" activeTab="4" xr2:uid="{66BC89B6-9938-4E4B-BE72-BDF06907CABC}"/>
  </bookViews>
  <sheets>
    <sheet name="Beer Holic" sheetId="1" r:id="rId1"/>
    <sheet name="Single  Bottle" sheetId="2" r:id="rId2"/>
    <sheet name="Twin Bottle" sheetId="3" r:id="rId3"/>
    <sheet name="Triple Bottle" sheetId="4" r:id="rId4"/>
    <sheet name="Privat Package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5" l="1"/>
  <c r="G31" i="5"/>
  <c r="G30" i="5"/>
  <c r="F30" i="5"/>
  <c r="G29" i="5"/>
  <c r="G28" i="5"/>
  <c r="F28" i="5"/>
  <c r="G27" i="5"/>
  <c r="F27" i="5"/>
  <c r="G26" i="5"/>
  <c r="F26" i="5"/>
  <c r="F25" i="5"/>
  <c r="F24" i="5"/>
  <c r="F35" i="5" s="1"/>
  <c r="F36" i="5" s="1"/>
  <c r="O12" i="5"/>
  <c r="G12" i="5"/>
  <c r="G11" i="5"/>
  <c r="O10" i="5"/>
  <c r="G10" i="5"/>
  <c r="O9" i="5"/>
  <c r="N9" i="5"/>
  <c r="G9" i="5"/>
  <c r="F9" i="5"/>
  <c r="O8" i="5"/>
  <c r="G8" i="5"/>
  <c r="O7" i="5"/>
  <c r="N7" i="5"/>
  <c r="G7" i="5"/>
  <c r="F7" i="5"/>
  <c r="O6" i="5"/>
  <c r="N6" i="5"/>
  <c r="G6" i="5"/>
  <c r="F6" i="5"/>
  <c r="O5" i="5"/>
  <c r="N5" i="5"/>
  <c r="G5" i="5"/>
  <c r="F5" i="5"/>
  <c r="N4" i="5"/>
  <c r="F4" i="5"/>
  <c r="O3" i="5"/>
  <c r="O15" i="5" s="1"/>
  <c r="N3" i="5"/>
  <c r="N14" i="5" s="1"/>
  <c r="N15" i="5" s="1"/>
  <c r="F3" i="5"/>
  <c r="F14" i="5" s="1"/>
  <c r="F15" i="5" s="1"/>
  <c r="F28" i="4"/>
  <c r="O25" i="4"/>
  <c r="P24" i="4"/>
  <c r="O24" i="4"/>
  <c r="H24" i="4"/>
  <c r="G24" i="4"/>
  <c r="P23" i="4"/>
  <c r="O23" i="4"/>
  <c r="H23" i="4"/>
  <c r="G23" i="4"/>
  <c r="O22" i="4"/>
  <c r="N22" i="4"/>
  <c r="N28" i="4" s="1"/>
  <c r="H22" i="4"/>
  <c r="G22" i="4"/>
  <c r="F22" i="4"/>
  <c r="O21" i="4"/>
  <c r="O28" i="4" s="1"/>
  <c r="G21" i="4"/>
  <c r="P20" i="4"/>
  <c r="O20" i="4"/>
  <c r="H20" i="4"/>
  <c r="H29" i="4" s="1"/>
  <c r="G20" i="4"/>
  <c r="G28" i="4" s="1"/>
  <c r="G29" i="4" s="1"/>
  <c r="H9" i="4"/>
  <c r="H8" i="4"/>
  <c r="P7" i="4"/>
  <c r="H7" i="4"/>
  <c r="P6" i="4"/>
  <c r="H6" i="4"/>
  <c r="P5" i="4"/>
  <c r="O5" i="4"/>
  <c r="N5" i="4"/>
  <c r="N11" i="4" s="1"/>
  <c r="G5" i="4"/>
  <c r="F5" i="4"/>
  <c r="F11" i="4" s="1"/>
  <c r="O4" i="4"/>
  <c r="G4" i="4"/>
  <c r="P3" i="4"/>
  <c r="P12" i="4" s="1"/>
  <c r="O3" i="4"/>
  <c r="O11" i="4" s="1"/>
  <c r="O12" i="4" s="1"/>
  <c r="G3" i="4"/>
  <c r="G11" i="4" s="1"/>
  <c r="G12" i="4" s="1"/>
  <c r="O28" i="3"/>
  <c r="O29" i="3" s="1"/>
  <c r="N28" i="3"/>
  <c r="F28" i="3"/>
  <c r="P24" i="3"/>
  <c r="H24" i="3"/>
  <c r="P23" i="3"/>
  <c r="H23" i="3"/>
  <c r="P22" i="3"/>
  <c r="H22" i="3"/>
  <c r="O21" i="3"/>
  <c r="G21" i="3"/>
  <c r="P20" i="3"/>
  <c r="P29" i="3" s="1"/>
  <c r="O20" i="3"/>
  <c r="G20" i="3"/>
  <c r="G28" i="3" s="1"/>
  <c r="G29" i="3" s="1"/>
  <c r="O11" i="3"/>
  <c r="O12" i="3" s="1"/>
  <c r="N11" i="3"/>
  <c r="F11" i="3"/>
  <c r="P7" i="3"/>
  <c r="H7" i="3"/>
  <c r="P6" i="3"/>
  <c r="H6" i="3"/>
  <c r="P5" i="3"/>
  <c r="H5" i="3"/>
  <c r="O4" i="3"/>
  <c r="G4" i="3"/>
  <c r="P3" i="3"/>
  <c r="P12" i="3" s="1"/>
  <c r="O3" i="3"/>
  <c r="G3" i="3"/>
  <c r="G11" i="3" s="1"/>
  <c r="G12" i="3" s="1"/>
  <c r="O28" i="2"/>
  <c r="O29" i="2" s="1"/>
  <c r="N28" i="2"/>
  <c r="F28" i="2"/>
  <c r="P24" i="2"/>
  <c r="H24" i="2"/>
  <c r="P23" i="2"/>
  <c r="H23" i="2"/>
  <c r="P22" i="2"/>
  <c r="H22" i="2"/>
  <c r="O21" i="2"/>
  <c r="G21" i="2"/>
  <c r="P20" i="2"/>
  <c r="P29" i="2" s="1"/>
  <c r="O20" i="2"/>
  <c r="G20" i="2"/>
  <c r="G28" i="2" s="1"/>
  <c r="G29" i="2" s="1"/>
  <c r="F11" i="2"/>
  <c r="O9" i="2"/>
  <c r="O8" i="2"/>
  <c r="P7" i="2"/>
  <c r="H7" i="2"/>
  <c r="P6" i="2"/>
  <c r="O6" i="2"/>
  <c r="H6" i="2"/>
  <c r="P5" i="2"/>
  <c r="P12" i="2" s="1"/>
  <c r="N5" i="2"/>
  <c r="N11" i="2" s="1"/>
  <c r="H5" i="2"/>
  <c r="F5" i="2"/>
  <c r="O4" i="2"/>
  <c r="O11" i="2" s="1"/>
  <c r="G4" i="2"/>
  <c r="P3" i="2"/>
  <c r="O3" i="2"/>
  <c r="H3" i="2"/>
  <c r="H12" i="2" s="1"/>
  <c r="G3" i="2"/>
  <c r="G11" i="2" s="1"/>
  <c r="G12" i="2" s="1"/>
  <c r="H7" i="1"/>
  <c r="H6" i="1"/>
  <c r="G6" i="1"/>
  <c r="G5" i="1"/>
  <c r="H4" i="1"/>
  <c r="H10" i="1" s="1"/>
  <c r="G4" i="1"/>
  <c r="G10" i="1" s="1"/>
  <c r="H11" i="1" l="1"/>
  <c r="H12" i="1"/>
  <c r="H14" i="1" s="1"/>
  <c r="H15" i="1" s="1"/>
  <c r="O16" i="5"/>
  <c r="O17" i="5" s="1"/>
  <c r="O19" i="5" s="1"/>
  <c r="O20" i="5" s="1"/>
  <c r="P13" i="3"/>
  <c r="P14" i="3" s="1"/>
  <c r="P16" i="3" s="1"/>
  <c r="P17" i="3" s="1"/>
  <c r="P13" i="4"/>
  <c r="P14" i="4" s="1"/>
  <c r="P16" i="4" s="1"/>
  <c r="P17" i="4" s="1"/>
  <c r="P30" i="2"/>
  <c r="P31" i="2" s="1"/>
  <c r="P33" i="2" s="1"/>
  <c r="P34" i="2" s="1"/>
  <c r="P30" i="3"/>
  <c r="P31" i="3" s="1"/>
  <c r="P33" i="3" s="1"/>
  <c r="P34" i="3" s="1"/>
  <c r="H13" i="2"/>
  <c r="H14" i="2" s="1"/>
  <c r="H16" i="2" s="1"/>
  <c r="H17" i="2" s="1"/>
  <c r="P13" i="2"/>
  <c r="P14" i="2" s="1"/>
  <c r="P16" i="2" s="1"/>
  <c r="P17" i="2" s="1"/>
  <c r="H30" i="4"/>
  <c r="H31" i="4" s="1"/>
  <c r="H33" i="4" s="1"/>
  <c r="H34" i="4" s="1"/>
  <c r="G24" i="5"/>
  <c r="G36" i="5" s="1"/>
  <c r="H20" i="2"/>
  <c r="H29" i="2" s="1"/>
  <c r="H3" i="3"/>
  <c r="H12" i="3" s="1"/>
  <c r="H20" i="3"/>
  <c r="H29" i="3" s="1"/>
  <c r="H3" i="4"/>
  <c r="H5" i="4"/>
  <c r="G3" i="5"/>
  <c r="G15" i="5" s="1"/>
  <c r="O12" i="2"/>
  <c r="Q4" i="4"/>
  <c r="P22" i="4"/>
  <c r="P29" i="4" s="1"/>
  <c r="O29" i="4"/>
  <c r="P30" i="4" l="1"/>
  <c r="P31" i="4" s="1"/>
  <c r="P33" i="4" s="1"/>
  <c r="P34" i="4" s="1"/>
  <c r="H30" i="2"/>
  <c r="H31" i="2" s="1"/>
  <c r="H33" i="2" s="1"/>
  <c r="H34" i="2" s="1"/>
  <c r="H12" i="4"/>
  <c r="G37" i="5"/>
  <c r="G38" i="5" s="1"/>
  <c r="G40" i="5" s="1"/>
  <c r="G41" i="5" s="1"/>
  <c r="H31" i="3"/>
  <c r="H33" i="3" s="1"/>
  <c r="H34" i="3" s="1"/>
  <c r="H30" i="3"/>
  <c r="G16" i="5"/>
  <c r="G17" i="5"/>
  <c r="G19" i="5" s="1"/>
  <c r="G20" i="5" s="1"/>
  <c r="H14" i="3"/>
  <c r="H16" i="3" s="1"/>
  <c r="H17" i="3" s="1"/>
  <c r="H13" i="3"/>
  <c r="H13" i="4" l="1"/>
  <c r="H14" i="4"/>
  <c r="H16" i="4" s="1"/>
  <c r="H17" i="4" s="1"/>
</calcChain>
</file>

<file path=xl/sharedStrings.xml><?xml version="1.0" encoding="utf-8"?>
<sst xmlns="http://schemas.openxmlformats.org/spreadsheetml/2006/main" count="498" uniqueCount="58">
  <si>
    <t>No</t>
  </si>
  <si>
    <t>Nama Item</t>
  </si>
  <si>
    <t>Qty</t>
  </si>
  <si>
    <t>Unit</t>
  </si>
  <si>
    <t>Hpp</t>
  </si>
  <si>
    <t>Additional</t>
  </si>
  <si>
    <t>Price</t>
  </si>
  <si>
    <t>Talent</t>
  </si>
  <si>
    <t>Person</t>
  </si>
  <si>
    <t>Room</t>
  </si>
  <si>
    <t>Jam</t>
  </si>
  <si>
    <t>Beer</t>
  </si>
  <si>
    <t>Btl</t>
  </si>
  <si>
    <t>Mineral Water 330ml</t>
  </si>
  <si>
    <t>Fruit Plater</t>
  </si>
  <si>
    <t>Porsi</t>
  </si>
  <si>
    <t>Beer Holic Package</t>
  </si>
  <si>
    <t>Total</t>
  </si>
  <si>
    <t>Var Cost 5 %</t>
  </si>
  <si>
    <t>Total Cost</t>
  </si>
  <si>
    <t>Selling Price</t>
  </si>
  <si>
    <t>Margin</t>
  </si>
  <si>
    <t>%</t>
  </si>
  <si>
    <t>Amount</t>
  </si>
  <si>
    <t>Alva Vodca</t>
  </si>
  <si>
    <t>Nobleman Whisky</t>
  </si>
  <si>
    <t>Tonic Water</t>
  </si>
  <si>
    <t>can</t>
  </si>
  <si>
    <t>Can</t>
  </si>
  <si>
    <t>Kacang Bawang</t>
  </si>
  <si>
    <t>Nobleman whisky</t>
  </si>
  <si>
    <t>Captain Morgan</t>
  </si>
  <si>
    <t>Ice Land Vodca</t>
  </si>
  <si>
    <t>Coke 1 Liter</t>
  </si>
  <si>
    <t>Spirit To Spirit KW</t>
  </si>
  <si>
    <t>Spirit To Spirit Ori</t>
  </si>
  <si>
    <t>Voyage Gin</t>
  </si>
  <si>
    <t>Lamafa Rum</t>
  </si>
  <si>
    <t>GreeyGoose</t>
  </si>
  <si>
    <t>Premium Package</t>
  </si>
  <si>
    <t>Black Label</t>
  </si>
  <si>
    <t>Vodca</t>
  </si>
  <si>
    <t>Cognac</t>
  </si>
  <si>
    <t>Whisky</t>
  </si>
  <si>
    <t>Blended</t>
  </si>
  <si>
    <t>Coca cola 1 L</t>
  </si>
  <si>
    <t>Infus Water</t>
  </si>
  <si>
    <t>Pitcher</t>
  </si>
  <si>
    <t>Choice :</t>
  </si>
  <si>
    <t>Martell Vsop</t>
  </si>
  <si>
    <t>Hennesy Vsop</t>
  </si>
  <si>
    <t>Noblemen Whisky</t>
  </si>
  <si>
    <t>Red Label</t>
  </si>
  <si>
    <t>Gold Package</t>
  </si>
  <si>
    <t>Single Malt</t>
  </si>
  <si>
    <t>Singleton 12 GO</t>
  </si>
  <si>
    <t>Macallan 12 DC</t>
  </si>
  <si>
    <t>Platinum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</si>
</sst>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%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2" fillId="2" borderId="1" xfId="0" applyNumberFormat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2" fillId="0" borderId="1" xfId="0" applyNumberFormat="1" applyFont="1" applyBorder="1">
      <alignment vertical="center"/>
    </xf>
    <xf numFmtId="164" fontId="2" fillId="4" borderId="1" xfId="0" applyNumberFormat="1" applyFont="1" applyFill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>
      <alignment vertical="center"/>
    </xf>
    <xf numFmtId="9" fontId="2" fillId="0" borderId="1" xfId="1" applyFont="1" applyBorder="1">
      <alignment vertical="center"/>
    </xf>
    <xf numFmtId="164" fontId="0" fillId="0" borderId="0" xfId="0" applyNumberForma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>
      <alignment vertical="center"/>
    </xf>
    <xf numFmtId="0" fontId="4" fillId="3" borderId="0" xfId="0" applyFont="1" applyFill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enu%20F&amp;B%20Hs.xlsx" TargetMode="External"/><Relationship Id="rId1" Type="http://schemas.openxmlformats.org/officeDocument/2006/relationships/externalLinkPath" Target="Menu%20F&amp;B%20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 menu"/>
      <sheetName val="Beer Holic"/>
      <sheetName val="Single  Bottle"/>
      <sheetName val="Twin Bottle"/>
      <sheetName val="Triple Bottle"/>
      <sheetName val="Privat Package"/>
      <sheetName val="Weekday Package"/>
      <sheetName val="Recipe Food"/>
      <sheetName val="Recipe Bev"/>
      <sheetName val="Arisan Package"/>
    </sheetNames>
    <sheetDataSet>
      <sheetData sheetId="0">
        <row r="32">
          <cell r="E32">
            <v>331667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F239-76D3-41B7-B36E-75C331268D2F}">
  <dimension ref="B3:H15"/>
  <sheetViews>
    <sheetView workbookViewId="0">
      <selection activeCell="P12" sqref="P12"/>
    </sheetView>
  </sheetViews>
  <sheetFormatPr defaultColWidth="9.140625" defaultRowHeight="15"/>
  <cols>
    <col min="1" max="1" width="3.85546875" customWidth="1"/>
    <col min="2" max="2" width="4.140625" customWidth="1"/>
    <col min="3" max="3" width="21.28515625" customWidth="1"/>
    <col min="6" max="7" width="13.7109375" customWidth="1"/>
    <col min="8" max="8" width="10.5703125" customWidth="1"/>
  </cols>
  <sheetData>
    <row r="3" spans="2:8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 t="s">
        <v>5</v>
      </c>
      <c r="H3" s="2" t="s">
        <v>6</v>
      </c>
    </row>
    <row r="4" spans="2:8">
      <c r="B4" s="3">
        <v>1</v>
      </c>
      <c r="C4" s="4" t="s">
        <v>7</v>
      </c>
      <c r="D4" s="3">
        <v>2</v>
      </c>
      <c r="E4" s="3" t="s">
        <v>8</v>
      </c>
      <c r="F4" s="5">
        <v>120000</v>
      </c>
      <c r="G4" s="5">
        <f>F4*D4*2</f>
        <v>480000</v>
      </c>
      <c r="H4" s="5">
        <f>G4</f>
        <v>480000</v>
      </c>
    </row>
    <row r="5" spans="2:8">
      <c r="B5" s="3">
        <v>2</v>
      </c>
      <c r="C5" s="4" t="s">
        <v>9</v>
      </c>
      <c r="D5" s="3">
        <v>2</v>
      </c>
      <c r="E5" s="3" t="s">
        <v>10</v>
      </c>
      <c r="F5" s="5">
        <v>145000</v>
      </c>
      <c r="G5" s="5">
        <f>F5*D5</f>
        <v>290000</v>
      </c>
      <c r="H5" s="5">
        <v>0</v>
      </c>
    </row>
    <row r="6" spans="2:8">
      <c r="B6" s="3">
        <v>3</v>
      </c>
      <c r="C6" s="4" t="s">
        <v>11</v>
      </c>
      <c r="D6" s="3">
        <v>6</v>
      </c>
      <c r="E6" s="3" t="s">
        <v>12</v>
      </c>
      <c r="F6" s="5">
        <v>35000</v>
      </c>
      <c r="G6" s="5">
        <f>85000*6</f>
        <v>510000</v>
      </c>
      <c r="H6" s="5">
        <f>F6*D6</f>
        <v>210000</v>
      </c>
    </row>
    <row r="7" spans="2:8">
      <c r="B7" s="3">
        <v>4</v>
      </c>
      <c r="C7" s="4" t="s">
        <v>13</v>
      </c>
      <c r="D7" s="3">
        <v>2</v>
      </c>
      <c r="E7" s="3" t="s">
        <v>12</v>
      </c>
      <c r="F7" s="5">
        <v>1100</v>
      </c>
      <c r="G7" s="5">
        <v>20000</v>
      </c>
      <c r="H7" s="5">
        <f>F7*D7</f>
        <v>2200</v>
      </c>
    </row>
    <row r="8" spans="2:8">
      <c r="B8" s="3">
        <v>5</v>
      </c>
      <c r="C8" s="4" t="s">
        <v>14</v>
      </c>
      <c r="D8" s="3">
        <v>1</v>
      </c>
      <c r="E8" s="3" t="s">
        <v>15</v>
      </c>
      <c r="F8" s="5">
        <v>10000</v>
      </c>
      <c r="G8" s="5">
        <v>35000</v>
      </c>
      <c r="H8" s="5">
        <v>15000</v>
      </c>
    </row>
    <row r="9" spans="2:8">
      <c r="B9" s="3"/>
      <c r="C9" s="4"/>
      <c r="D9" s="3"/>
      <c r="E9" s="3"/>
      <c r="F9" s="5"/>
      <c r="G9" s="5"/>
      <c r="H9" s="5"/>
    </row>
    <row r="10" spans="2:8">
      <c r="B10" s="6" t="s">
        <v>16</v>
      </c>
      <c r="C10" s="7"/>
      <c r="D10" s="7"/>
      <c r="E10" s="7"/>
      <c r="F10" s="5" t="s">
        <v>17</v>
      </c>
      <c r="G10" s="5">
        <f>SUM(G4:G8)</f>
        <v>1335000</v>
      </c>
      <c r="H10" s="8">
        <f>SUM(H4:H9)</f>
        <v>707200</v>
      </c>
    </row>
    <row r="11" spans="2:8">
      <c r="B11" s="9"/>
      <c r="C11" s="10"/>
      <c r="D11" s="10"/>
      <c r="E11" s="10"/>
      <c r="F11" s="5" t="s">
        <v>18</v>
      </c>
      <c r="G11" s="5"/>
      <c r="H11" s="5">
        <f>H10*5%</f>
        <v>35360</v>
      </c>
    </row>
    <row r="12" spans="2:8">
      <c r="B12" s="9"/>
      <c r="C12" s="10"/>
      <c r="D12" s="10"/>
      <c r="E12" s="10"/>
      <c r="F12" s="5" t="s">
        <v>19</v>
      </c>
      <c r="G12" s="5"/>
      <c r="H12" s="5">
        <f>SUM(H10:H11)</f>
        <v>742560</v>
      </c>
    </row>
    <row r="13" spans="2:8">
      <c r="B13" s="9"/>
      <c r="C13" s="10"/>
      <c r="D13" s="10"/>
      <c r="E13" s="10"/>
      <c r="F13" s="11" t="s">
        <v>20</v>
      </c>
      <c r="G13" s="11"/>
      <c r="H13" s="11">
        <v>1100000</v>
      </c>
    </row>
    <row r="14" spans="2:8">
      <c r="B14" s="9"/>
      <c r="C14" s="10"/>
      <c r="D14" s="10"/>
      <c r="E14" s="10"/>
      <c r="F14" s="12" t="s">
        <v>21</v>
      </c>
      <c r="G14" s="12"/>
      <c r="H14" s="12">
        <f>H13-H12</f>
        <v>357440</v>
      </c>
    </row>
    <row r="15" spans="2:8">
      <c r="B15" s="13"/>
      <c r="C15" s="14"/>
      <c r="D15" s="14"/>
      <c r="E15" s="14"/>
      <c r="F15" s="15" t="s">
        <v>22</v>
      </c>
      <c r="G15" s="15"/>
      <c r="H15" s="16">
        <f>H14/H13</f>
        <v>0.32494545454545454</v>
      </c>
    </row>
  </sheetData>
  <mergeCells count="1">
    <mergeCell ref="B10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D952-6BD7-478B-B865-D8FC1259DE26}">
  <dimension ref="B2:P34"/>
  <sheetViews>
    <sheetView topLeftCell="A4" zoomScaleNormal="100" workbookViewId="0">
      <selection activeCell="P12" sqref="P12"/>
    </sheetView>
  </sheetViews>
  <sheetFormatPr defaultColWidth="9.140625" defaultRowHeight="15"/>
  <cols>
    <col min="1" max="1" width="3.140625" customWidth="1"/>
    <col min="2" max="2" width="4.140625" customWidth="1"/>
    <col min="3" max="3" width="21.28515625" customWidth="1"/>
    <col min="6" max="7" width="13.7109375" customWidth="1"/>
    <col min="8" max="8" width="10.5703125" customWidth="1"/>
    <col min="10" max="10" width="4.140625" customWidth="1"/>
    <col min="11" max="11" width="21.28515625" customWidth="1"/>
    <col min="14" max="14" width="13.7109375" customWidth="1"/>
    <col min="15" max="15" width="11.85546875" customWidth="1"/>
    <col min="16" max="16" width="10.5703125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23</v>
      </c>
      <c r="H2" s="2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2" t="s">
        <v>4</v>
      </c>
      <c r="O2" s="2" t="s">
        <v>5</v>
      </c>
      <c r="P2" s="2" t="s">
        <v>6</v>
      </c>
    </row>
    <row r="3" spans="2:16">
      <c r="B3" s="3">
        <v>1</v>
      </c>
      <c r="C3" s="4" t="s">
        <v>7</v>
      </c>
      <c r="D3" s="3">
        <v>2</v>
      </c>
      <c r="E3" s="3" t="s">
        <v>8</v>
      </c>
      <c r="F3" s="5">
        <v>120000</v>
      </c>
      <c r="G3" s="5">
        <f>F3*D3*D4</f>
        <v>480000</v>
      </c>
      <c r="H3" s="5">
        <f>G3</f>
        <v>480000</v>
      </c>
      <c r="J3" s="3">
        <v>1</v>
      </c>
      <c r="K3" s="4" t="s">
        <v>7</v>
      </c>
      <c r="L3" s="3">
        <v>2</v>
      </c>
      <c r="M3" s="3" t="s">
        <v>8</v>
      </c>
      <c r="N3" s="5">
        <v>120000</v>
      </c>
      <c r="O3" s="5">
        <f>N3*L3*L4</f>
        <v>480000</v>
      </c>
      <c r="P3" s="5">
        <f>O3</f>
        <v>480000</v>
      </c>
    </row>
    <row r="4" spans="2:16">
      <c r="B4" s="3">
        <v>2</v>
      </c>
      <c r="C4" s="4" t="s">
        <v>9</v>
      </c>
      <c r="D4" s="3">
        <v>2</v>
      </c>
      <c r="E4" s="3" t="s">
        <v>10</v>
      </c>
      <c r="F4" s="5">
        <v>145000</v>
      </c>
      <c r="G4" s="5">
        <f>F4*D4</f>
        <v>290000</v>
      </c>
      <c r="H4" s="5"/>
      <c r="J4" s="3">
        <v>2</v>
      </c>
      <c r="K4" s="4" t="s">
        <v>9</v>
      </c>
      <c r="L4" s="3">
        <v>2</v>
      </c>
      <c r="M4" s="3" t="s">
        <v>10</v>
      </c>
      <c r="N4" s="5">
        <v>145000</v>
      </c>
      <c r="O4" s="5">
        <f t="shared" ref="O4:O9" si="0">N4*L4</f>
        <v>290000</v>
      </c>
      <c r="P4" s="5"/>
    </row>
    <row r="5" spans="2:16">
      <c r="B5" s="3">
        <v>3</v>
      </c>
      <c r="C5" s="4" t="s">
        <v>24</v>
      </c>
      <c r="D5" s="3">
        <v>1</v>
      </c>
      <c r="E5" s="3" t="s">
        <v>12</v>
      </c>
      <c r="F5" s="5">
        <f>'[1]Add menu'!E32</f>
        <v>331667</v>
      </c>
      <c r="G5" s="5">
        <v>650000</v>
      </c>
      <c r="H5" s="5">
        <f t="shared" ref="H5:H7" si="1">F5*D5</f>
        <v>331667</v>
      </c>
      <c r="J5" s="3">
        <v>3</v>
      </c>
      <c r="K5" s="4" t="s">
        <v>25</v>
      </c>
      <c r="L5" s="3">
        <v>1</v>
      </c>
      <c r="M5" s="3" t="s">
        <v>12</v>
      </c>
      <c r="N5" s="5">
        <f>'[1]Add menu'!E32</f>
        <v>331667</v>
      </c>
      <c r="O5" s="5">
        <v>650000</v>
      </c>
      <c r="P5" s="5">
        <f t="shared" ref="P5:P7" si="2">N5*L5</f>
        <v>331667</v>
      </c>
    </row>
    <row r="6" spans="2:16">
      <c r="B6" s="3">
        <v>4</v>
      </c>
      <c r="C6" s="4" t="s">
        <v>13</v>
      </c>
      <c r="D6" s="3">
        <v>4</v>
      </c>
      <c r="E6" s="3" t="s">
        <v>12</v>
      </c>
      <c r="F6" s="5">
        <v>1100</v>
      </c>
      <c r="G6" s="5">
        <v>40000</v>
      </c>
      <c r="H6" s="5">
        <f t="shared" si="1"/>
        <v>4400</v>
      </c>
      <c r="J6" s="3">
        <v>4</v>
      </c>
      <c r="K6" s="4" t="s">
        <v>13</v>
      </c>
      <c r="L6" s="3">
        <v>4</v>
      </c>
      <c r="M6" s="3" t="s">
        <v>12</v>
      </c>
      <c r="N6" s="5">
        <v>1100</v>
      </c>
      <c r="O6" s="5">
        <f t="shared" si="0"/>
        <v>4400</v>
      </c>
      <c r="P6" s="5">
        <f t="shared" si="2"/>
        <v>4400</v>
      </c>
    </row>
    <row r="7" spans="2:16">
      <c r="B7" s="3">
        <v>5</v>
      </c>
      <c r="C7" s="4" t="s">
        <v>14</v>
      </c>
      <c r="D7" s="3">
        <v>1</v>
      </c>
      <c r="E7" s="3" t="s">
        <v>15</v>
      </c>
      <c r="F7" s="5">
        <v>10000</v>
      </c>
      <c r="G7" s="5">
        <v>35000</v>
      </c>
      <c r="H7" s="5">
        <f t="shared" si="1"/>
        <v>10000</v>
      </c>
      <c r="J7" s="3">
        <v>5</v>
      </c>
      <c r="K7" s="4" t="s">
        <v>14</v>
      </c>
      <c r="L7" s="3">
        <v>1</v>
      </c>
      <c r="M7" s="3" t="s">
        <v>15</v>
      </c>
      <c r="N7" s="5">
        <v>10000</v>
      </c>
      <c r="O7" s="5">
        <v>35000</v>
      </c>
      <c r="P7" s="5">
        <f t="shared" si="2"/>
        <v>10000</v>
      </c>
    </row>
    <row r="8" spans="2:16">
      <c r="B8" s="3">
        <v>6</v>
      </c>
      <c r="C8" s="4" t="s">
        <v>26</v>
      </c>
      <c r="D8" s="3">
        <v>4</v>
      </c>
      <c r="E8" s="3" t="s">
        <v>27</v>
      </c>
      <c r="F8" s="5">
        <v>5000</v>
      </c>
      <c r="G8" s="5">
        <v>15000</v>
      </c>
      <c r="H8" s="5">
        <v>10000</v>
      </c>
      <c r="J8" s="3">
        <v>6</v>
      </c>
      <c r="K8" s="4" t="s">
        <v>26</v>
      </c>
      <c r="L8" s="3">
        <v>4</v>
      </c>
      <c r="M8" s="3" t="s">
        <v>28</v>
      </c>
      <c r="N8" s="5">
        <v>5000</v>
      </c>
      <c r="O8" s="5">
        <f t="shared" si="0"/>
        <v>20000</v>
      </c>
      <c r="P8" s="5">
        <v>10000</v>
      </c>
    </row>
    <row r="9" spans="2:16">
      <c r="B9" s="3">
        <v>7</v>
      </c>
      <c r="C9" s="4" t="s">
        <v>29</v>
      </c>
      <c r="D9" s="3">
        <v>1</v>
      </c>
      <c r="E9" s="3" t="s">
        <v>15</v>
      </c>
      <c r="F9" s="5">
        <v>5000</v>
      </c>
      <c r="G9" s="5">
        <v>15000</v>
      </c>
      <c r="H9" s="5">
        <v>5000</v>
      </c>
      <c r="J9" s="3">
        <v>7</v>
      </c>
      <c r="K9" s="4" t="s">
        <v>29</v>
      </c>
      <c r="L9" s="3">
        <v>1</v>
      </c>
      <c r="M9" s="3" t="s">
        <v>15</v>
      </c>
      <c r="N9" s="5">
        <v>5000</v>
      </c>
      <c r="O9" s="5">
        <f t="shared" si="0"/>
        <v>5000</v>
      </c>
      <c r="P9" s="5">
        <v>5000</v>
      </c>
    </row>
    <row r="10" spans="2:16">
      <c r="B10" s="3"/>
      <c r="C10" s="4"/>
      <c r="D10" s="3"/>
      <c r="E10" s="3"/>
      <c r="F10" s="5"/>
      <c r="G10" s="5"/>
      <c r="H10" s="5"/>
      <c r="J10" s="3"/>
      <c r="K10" s="4"/>
      <c r="L10" s="3"/>
      <c r="M10" s="3"/>
      <c r="N10" s="5"/>
      <c r="O10" s="5"/>
      <c r="P10" s="5"/>
    </row>
    <row r="11" spans="2:16">
      <c r="B11" s="3"/>
      <c r="C11" s="4" t="s">
        <v>17</v>
      </c>
      <c r="D11" s="3"/>
      <c r="E11" s="3"/>
      <c r="F11" s="5">
        <f>SUM(F3:F10)</f>
        <v>617767</v>
      </c>
      <c r="G11" s="5">
        <f>SUM(G3:G10)</f>
        <v>1525000</v>
      </c>
      <c r="H11" s="5"/>
      <c r="J11" s="3"/>
      <c r="K11" s="4" t="s">
        <v>17</v>
      </c>
      <c r="L11" s="3"/>
      <c r="M11" s="3"/>
      <c r="N11" s="5">
        <f>SUM(N3:N10)</f>
        <v>617767</v>
      </c>
      <c r="O11" s="5">
        <f>SUM(O3:O10)</f>
        <v>1484400</v>
      </c>
      <c r="P11" s="5"/>
    </row>
    <row r="12" spans="2:16">
      <c r="B12" s="6" t="s">
        <v>24</v>
      </c>
      <c r="C12" s="7"/>
      <c r="D12" s="7"/>
      <c r="E12" s="7"/>
      <c r="F12" s="5" t="s">
        <v>17</v>
      </c>
      <c r="G12" s="5">
        <f>G11</f>
        <v>1525000</v>
      </c>
      <c r="H12" s="8">
        <f>SUM(H3:H11)</f>
        <v>841067</v>
      </c>
      <c r="J12" s="6" t="s">
        <v>30</v>
      </c>
      <c r="K12" s="7"/>
      <c r="L12" s="7"/>
      <c r="M12" s="7"/>
      <c r="N12" s="5" t="s">
        <v>17</v>
      </c>
      <c r="O12" s="5">
        <f>SUM(O3:O7)</f>
        <v>1459400</v>
      </c>
      <c r="P12" s="8">
        <f>SUM(P3:P11)</f>
        <v>841067</v>
      </c>
    </row>
    <row r="13" spans="2:16">
      <c r="B13" s="9"/>
      <c r="C13" s="10"/>
      <c r="D13" s="10"/>
      <c r="E13" s="10"/>
      <c r="F13" s="5" t="s">
        <v>18</v>
      </c>
      <c r="G13" s="5"/>
      <c r="H13" s="5">
        <f>H12*5%</f>
        <v>42053.350000000006</v>
      </c>
      <c r="J13" s="9"/>
      <c r="K13" s="10"/>
      <c r="L13" s="10"/>
      <c r="M13" s="10"/>
      <c r="N13" s="5" t="s">
        <v>18</v>
      </c>
      <c r="O13" s="5"/>
      <c r="P13" s="5">
        <f>P12*5%</f>
        <v>42053.350000000006</v>
      </c>
    </row>
    <row r="14" spans="2:16">
      <c r="B14" s="9"/>
      <c r="C14" s="10"/>
      <c r="D14" s="10"/>
      <c r="E14" s="10"/>
      <c r="F14" s="5" t="s">
        <v>19</v>
      </c>
      <c r="G14" s="5"/>
      <c r="H14" s="5">
        <f>SUM(H12:H13)</f>
        <v>883120.35</v>
      </c>
      <c r="J14" s="9"/>
      <c r="K14" s="10"/>
      <c r="L14" s="10"/>
      <c r="M14" s="10"/>
      <c r="N14" s="5" t="s">
        <v>19</v>
      </c>
      <c r="O14" s="5"/>
      <c r="P14" s="5">
        <f>SUM(P12:P13)</f>
        <v>883120.35</v>
      </c>
    </row>
    <row r="15" spans="2:16">
      <c r="B15" s="9"/>
      <c r="C15" s="10"/>
      <c r="D15" s="10"/>
      <c r="E15" s="10"/>
      <c r="F15" s="11" t="s">
        <v>20</v>
      </c>
      <c r="G15" s="11"/>
      <c r="H15" s="11">
        <v>1400000</v>
      </c>
      <c r="J15" s="9"/>
      <c r="K15" s="10"/>
      <c r="L15" s="10"/>
      <c r="M15" s="10"/>
      <c r="N15" s="11" t="s">
        <v>20</v>
      </c>
      <c r="O15" s="11"/>
      <c r="P15" s="11">
        <v>1400000</v>
      </c>
    </row>
    <row r="16" spans="2:16">
      <c r="B16" s="9"/>
      <c r="C16" s="10"/>
      <c r="D16" s="10"/>
      <c r="E16" s="10"/>
      <c r="F16" s="12" t="s">
        <v>21</v>
      </c>
      <c r="G16" s="12"/>
      <c r="H16" s="12">
        <f>H15-H14</f>
        <v>516879.65</v>
      </c>
      <c r="J16" s="9"/>
      <c r="K16" s="10"/>
      <c r="L16" s="10"/>
      <c r="M16" s="10"/>
      <c r="N16" s="12" t="s">
        <v>21</v>
      </c>
      <c r="O16" s="12"/>
      <c r="P16" s="12">
        <f>P15-P14</f>
        <v>516879.65</v>
      </c>
    </row>
    <row r="17" spans="2:16">
      <c r="B17" s="13"/>
      <c r="C17" s="14"/>
      <c r="D17" s="14"/>
      <c r="E17" s="14"/>
      <c r="F17" s="15" t="s">
        <v>22</v>
      </c>
      <c r="G17" s="15"/>
      <c r="H17" s="16">
        <f>H16/H15</f>
        <v>0.36919974999999999</v>
      </c>
      <c r="J17" s="13"/>
      <c r="K17" s="14"/>
      <c r="L17" s="14"/>
      <c r="M17" s="14"/>
      <c r="N17" s="15" t="s">
        <v>22</v>
      </c>
      <c r="O17" s="15"/>
      <c r="P17" s="16">
        <f>P16/P15</f>
        <v>0.36919974999999999</v>
      </c>
    </row>
    <row r="19" spans="2:16">
      <c r="B19" s="1" t="s">
        <v>0</v>
      </c>
      <c r="C19" s="1" t="s">
        <v>1</v>
      </c>
      <c r="D19" s="1" t="s">
        <v>2</v>
      </c>
      <c r="E19" s="1" t="s">
        <v>3</v>
      </c>
      <c r="F19" s="2" t="s">
        <v>4</v>
      </c>
      <c r="G19" s="2" t="s">
        <v>5</v>
      </c>
      <c r="H19" s="2" t="s">
        <v>6</v>
      </c>
      <c r="J19" s="1" t="s">
        <v>0</v>
      </c>
      <c r="K19" s="1" t="s">
        <v>1</v>
      </c>
      <c r="L19" s="1" t="s">
        <v>2</v>
      </c>
      <c r="M19" s="1" t="s">
        <v>3</v>
      </c>
      <c r="N19" s="2" t="s">
        <v>4</v>
      </c>
      <c r="O19" s="2" t="s">
        <v>5</v>
      </c>
      <c r="P19" s="2" t="s">
        <v>6</v>
      </c>
    </row>
    <row r="20" spans="2:16">
      <c r="B20" s="3">
        <v>1</v>
      </c>
      <c r="C20" s="4" t="s">
        <v>7</v>
      </c>
      <c r="D20" s="3">
        <v>2</v>
      </c>
      <c r="E20" s="3" t="s">
        <v>8</v>
      </c>
      <c r="F20" s="5">
        <v>120000</v>
      </c>
      <c r="G20" s="5">
        <f>F20*D20*2</f>
        <v>480000</v>
      </c>
      <c r="H20" s="5">
        <f>G20</f>
        <v>480000</v>
      </c>
      <c r="J20" s="3">
        <v>1</v>
      </c>
      <c r="K20" s="4" t="s">
        <v>7</v>
      </c>
      <c r="L20" s="3">
        <v>2</v>
      </c>
      <c r="M20" s="3" t="s">
        <v>8</v>
      </c>
      <c r="N20" s="5">
        <v>120000</v>
      </c>
      <c r="O20" s="5">
        <f>N20*L20*2</f>
        <v>480000</v>
      </c>
      <c r="P20" s="5">
        <f>O20</f>
        <v>480000</v>
      </c>
    </row>
    <row r="21" spans="2:16">
      <c r="B21" s="3">
        <v>2</v>
      </c>
      <c r="C21" s="4" t="s">
        <v>9</v>
      </c>
      <c r="D21" s="3">
        <v>2</v>
      </c>
      <c r="E21" s="3" t="s">
        <v>10</v>
      </c>
      <c r="F21" s="5">
        <v>125000</v>
      </c>
      <c r="G21" s="5">
        <f>F21*D21</f>
        <v>250000</v>
      </c>
      <c r="H21" s="5"/>
      <c r="J21" s="3">
        <v>2</v>
      </c>
      <c r="K21" s="4" t="s">
        <v>9</v>
      </c>
      <c r="L21" s="3">
        <v>2</v>
      </c>
      <c r="M21" s="3" t="s">
        <v>10</v>
      </c>
      <c r="N21" s="5">
        <v>145000</v>
      </c>
      <c r="O21" s="5">
        <f>N21*L21</f>
        <v>290000</v>
      </c>
      <c r="P21" s="5"/>
    </row>
    <row r="22" spans="2:16">
      <c r="B22" s="3">
        <v>3</v>
      </c>
      <c r="C22" s="4" t="s">
        <v>31</v>
      </c>
      <c r="D22" s="3">
        <v>1</v>
      </c>
      <c r="E22" s="3" t="s">
        <v>12</v>
      </c>
      <c r="F22" s="5">
        <v>265000</v>
      </c>
      <c r="G22" s="5">
        <v>600000</v>
      </c>
      <c r="H22" s="5">
        <f t="shared" ref="H22:H24" si="3">F22*D22</f>
        <v>265000</v>
      </c>
      <c r="J22" s="3">
        <v>3</v>
      </c>
      <c r="K22" s="4" t="s">
        <v>32</v>
      </c>
      <c r="L22" s="3">
        <v>1</v>
      </c>
      <c r="M22" s="3" t="s">
        <v>12</v>
      </c>
      <c r="N22" s="5">
        <v>265000</v>
      </c>
      <c r="O22" s="5">
        <v>750000</v>
      </c>
      <c r="P22" s="5">
        <f t="shared" ref="P22:P24" si="4">N22*L22</f>
        <v>265000</v>
      </c>
    </row>
    <row r="23" spans="2:16">
      <c r="B23" s="3">
        <v>4</v>
      </c>
      <c r="C23" s="4" t="s">
        <v>13</v>
      </c>
      <c r="D23" s="3">
        <v>2</v>
      </c>
      <c r="E23" s="3" t="s">
        <v>12</v>
      </c>
      <c r="F23" s="5">
        <v>1100</v>
      </c>
      <c r="G23" s="5">
        <v>20000</v>
      </c>
      <c r="H23" s="5">
        <f t="shared" si="3"/>
        <v>2200</v>
      </c>
      <c r="J23" s="3">
        <v>4</v>
      </c>
      <c r="K23" s="4" t="s">
        <v>13</v>
      </c>
      <c r="L23" s="3">
        <v>2</v>
      </c>
      <c r="M23" s="3" t="s">
        <v>12</v>
      </c>
      <c r="N23" s="5">
        <v>1100</v>
      </c>
      <c r="O23" s="5">
        <v>20000</v>
      </c>
      <c r="P23" s="5">
        <f t="shared" si="4"/>
        <v>2200</v>
      </c>
    </row>
    <row r="24" spans="2:16">
      <c r="B24" s="3">
        <v>5</v>
      </c>
      <c r="C24" s="4" t="s">
        <v>14</v>
      </c>
      <c r="D24" s="3">
        <v>2</v>
      </c>
      <c r="E24" s="3" t="s">
        <v>15</v>
      </c>
      <c r="F24" s="5">
        <v>10000</v>
      </c>
      <c r="G24" s="5">
        <v>35000</v>
      </c>
      <c r="H24" s="5">
        <f t="shared" si="3"/>
        <v>20000</v>
      </c>
      <c r="J24" s="3">
        <v>5</v>
      </c>
      <c r="K24" s="4" t="s">
        <v>14</v>
      </c>
      <c r="L24" s="3">
        <v>2</v>
      </c>
      <c r="M24" s="3" t="s">
        <v>15</v>
      </c>
      <c r="N24" s="5">
        <v>10000</v>
      </c>
      <c r="O24" s="5">
        <v>35000</v>
      </c>
      <c r="P24" s="5">
        <f t="shared" si="4"/>
        <v>20000</v>
      </c>
    </row>
    <row r="25" spans="2:16">
      <c r="B25" s="3">
        <v>6</v>
      </c>
      <c r="C25" s="4" t="s">
        <v>33</v>
      </c>
      <c r="D25" s="3">
        <v>1</v>
      </c>
      <c r="E25" s="3" t="s">
        <v>12</v>
      </c>
      <c r="F25" s="5">
        <v>15000</v>
      </c>
      <c r="G25" s="5">
        <v>25000</v>
      </c>
      <c r="H25" s="5">
        <v>25000</v>
      </c>
      <c r="J25" s="3">
        <v>6</v>
      </c>
      <c r="K25" s="4" t="s">
        <v>33</v>
      </c>
      <c r="L25" s="3">
        <v>1</v>
      </c>
      <c r="M25" s="3" t="s">
        <v>12</v>
      </c>
      <c r="N25" s="5">
        <v>15000</v>
      </c>
      <c r="O25" s="5">
        <v>25000</v>
      </c>
      <c r="P25" s="5">
        <v>25000</v>
      </c>
    </row>
    <row r="26" spans="2:16">
      <c r="B26" s="3">
        <v>7</v>
      </c>
      <c r="C26" s="4" t="s">
        <v>29</v>
      </c>
      <c r="D26" s="3">
        <v>1</v>
      </c>
      <c r="E26" s="3" t="s">
        <v>15</v>
      </c>
      <c r="F26" s="5">
        <v>5000</v>
      </c>
      <c r="G26" s="5">
        <v>15000</v>
      </c>
      <c r="H26" s="5">
        <v>5000</v>
      </c>
      <c r="J26" s="3">
        <v>7</v>
      </c>
      <c r="K26" s="4" t="s">
        <v>29</v>
      </c>
      <c r="L26" s="3">
        <v>1</v>
      </c>
      <c r="M26" s="3" t="s">
        <v>15</v>
      </c>
      <c r="N26" s="5">
        <v>5000</v>
      </c>
      <c r="O26" s="5">
        <v>15000</v>
      </c>
      <c r="P26" s="5">
        <v>5000</v>
      </c>
    </row>
    <row r="27" spans="2:16">
      <c r="B27" s="3"/>
      <c r="C27" s="4"/>
      <c r="D27" s="3"/>
      <c r="E27" s="3"/>
      <c r="F27" s="5"/>
      <c r="G27" s="5"/>
      <c r="H27" s="5"/>
      <c r="J27" s="3"/>
      <c r="K27" s="4"/>
      <c r="L27" s="3"/>
      <c r="M27" s="3"/>
      <c r="N27" s="5"/>
      <c r="O27" s="5"/>
      <c r="P27" s="5"/>
    </row>
    <row r="28" spans="2:16">
      <c r="B28" s="3"/>
      <c r="C28" s="4" t="s">
        <v>17</v>
      </c>
      <c r="D28" s="3"/>
      <c r="E28" s="3"/>
      <c r="F28" s="5">
        <f>SUM(F20:F27)</f>
        <v>541100</v>
      </c>
      <c r="G28" s="5">
        <f>SUM(G20:G27)</f>
        <v>1425000</v>
      </c>
      <c r="H28" s="5"/>
      <c r="J28" s="3"/>
      <c r="K28" s="4" t="s">
        <v>17</v>
      </c>
      <c r="L28" s="3"/>
      <c r="M28" s="3"/>
      <c r="N28" s="5">
        <f>SUM(N20:N27)</f>
        <v>561100</v>
      </c>
      <c r="O28" s="5">
        <f>SUM(O20:O27)</f>
        <v>1615000</v>
      </c>
      <c r="P28" s="5"/>
    </row>
    <row r="29" spans="2:16">
      <c r="B29" s="6" t="s">
        <v>34</v>
      </c>
      <c r="C29" s="7"/>
      <c r="D29" s="7"/>
      <c r="E29" s="7"/>
      <c r="F29" s="5" t="s">
        <v>17</v>
      </c>
      <c r="G29" s="5">
        <f>G28</f>
        <v>1425000</v>
      </c>
      <c r="H29" s="8">
        <f>SUM(H20:H28)</f>
        <v>797200</v>
      </c>
      <c r="J29" s="6" t="s">
        <v>35</v>
      </c>
      <c r="K29" s="7"/>
      <c r="L29" s="7"/>
      <c r="M29" s="7"/>
      <c r="N29" s="5" t="s">
        <v>17</v>
      </c>
      <c r="O29" s="5">
        <f>O28</f>
        <v>1615000</v>
      </c>
      <c r="P29" s="8">
        <f>SUM(P20:P28)</f>
        <v>797200</v>
      </c>
    </row>
    <row r="30" spans="2:16">
      <c r="B30" s="9"/>
      <c r="C30" s="10"/>
      <c r="D30" s="10"/>
      <c r="E30" s="10"/>
      <c r="F30" s="5" t="s">
        <v>18</v>
      </c>
      <c r="G30" s="5"/>
      <c r="H30" s="5">
        <f>H29*5%</f>
        <v>39860</v>
      </c>
      <c r="J30" s="9"/>
      <c r="K30" s="10"/>
      <c r="L30" s="10"/>
      <c r="M30" s="10"/>
      <c r="N30" s="5" t="s">
        <v>18</v>
      </c>
      <c r="O30" s="5"/>
      <c r="P30" s="5">
        <f>P29*5%</f>
        <v>39860</v>
      </c>
    </row>
    <row r="31" spans="2:16">
      <c r="B31" s="9"/>
      <c r="C31" s="10"/>
      <c r="D31" s="10"/>
      <c r="E31" s="10"/>
      <c r="F31" s="5" t="s">
        <v>19</v>
      </c>
      <c r="G31" s="5"/>
      <c r="H31" s="5">
        <f>SUM(H29:H30)</f>
        <v>837060</v>
      </c>
      <c r="J31" s="9"/>
      <c r="K31" s="10"/>
      <c r="L31" s="10"/>
      <c r="M31" s="10"/>
      <c r="N31" s="5" t="s">
        <v>19</v>
      </c>
      <c r="O31" s="5"/>
      <c r="P31" s="5">
        <f>SUM(P29:P30)</f>
        <v>837060</v>
      </c>
    </row>
    <row r="32" spans="2:16">
      <c r="B32" s="9"/>
      <c r="C32" s="10"/>
      <c r="D32" s="10"/>
      <c r="E32" s="10"/>
      <c r="F32" s="11" t="s">
        <v>20</v>
      </c>
      <c r="G32" s="11"/>
      <c r="H32" s="11">
        <v>1500000</v>
      </c>
      <c r="J32" s="9"/>
      <c r="K32" s="10"/>
      <c r="L32" s="10"/>
      <c r="M32" s="10"/>
      <c r="N32" s="11" t="s">
        <v>20</v>
      </c>
      <c r="O32" s="11"/>
      <c r="P32" s="11">
        <v>1500000</v>
      </c>
    </row>
    <row r="33" spans="2:16">
      <c r="B33" s="9"/>
      <c r="C33" s="10"/>
      <c r="D33" s="10"/>
      <c r="E33" s="10"/>
      <c r="F33" s="12" t="s">
        <v>21</v>
      </c>
      <c r="G33" s="12"/>
      <c r="H33" s="12">
        <f>H32-H31</f>
        <v>662940</v>
      </c>
      <c r="J33" s="9"/>
      <c r="K33" s="10"/>
      <c r="L33" s="10"/>
      <c r="M33" s="10"/>
      <c r="N33" s="12" t="s">
        <v>21</v>
      </c>
      <c r="O33" s="12"/>
      <c r="P33" s="12">
        <f>P32-P31</f>
        <v>662940</v>
      </c>
    </row>
    <row r="34" spans="2:16">
      <c r="B34" s="13"/>
      <c r="C34" s="14"/>
      <c r="D34" s="14"/>
      <c r="E34" s="14"/>
      <c r="F34" s="15" t="s">
        <v>22</v>
      </c>
      <c r="G34" s="15"/>
      <c r="H34" s="17">
        <f>H33/H32</f>
        <v>0.44196000000000002</v>
      </c>
      <c r="J34" s="13"/>
      <c r="K34" s="14"/>
      <c r="L34" s="14"/>
      <c r="M34" s="14"/>
      <c r="N34" s="15" t="s">
        <v>22</v>
      </c>
      <c r="O34" s="15"/>
      <c r="P34" s="17">
        <f>P33/P32</f>
        <v>0.44196000000000002</v>
      </c>
    </row>
  </sheetData>
  <mergeCells count="4">
    <mergeCell ref="B12:E17"/>
    <mergeCell ref="J12:M17"/>
    <mergeCell ref="B29:E34"/>
    <mergeCell ref="J29:M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D2FD-620D-47FA-947A-3089254E899C}">
  <dimension ref="B2:P34"/>
  <sheetViews>
    <sheetView workbookViewId="0">
      <selection activeCell="P12" sqref="P12"/>
    </sheetView>
  </sheetViews>
  <sheetFormatPr defaultColWidth="9.140625" defaultRowHeight="15"/>
  <cols>
    <col min="1" max="1" width="3.140625" customWidth="1"/>
    <col min="2" max="2" width="4.140625" customWidth="1"/>
    <col min="3" max="3" width="21.28515625" customWidth="1"/>
    <col min="6" max="7" width="13.7109375" customWidth="1"/>
    <col min="8" max="8" width="10.5703125" customWidth="1"/>
    <col min="10" max="10" width="4.140625" customWidth="1"/>
    <col min="11" max="11" width="21.28515625" customWidth="1"/>
    <col min="14" max="14" width="13.7109375" customWidth="1"/>
    <col min="15" max="15" width="11.85546875" customWidth="1"/>
    <col min="16" max="16" width="10.5703125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23</v>
      </c>
      <c r="H2" s="2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2" t="s">
        <v>4</v>
      </c>
      <c r="O2" s="2" t="s">
        <v>5</v>
      </c>
      <c r="P2" s="2" t="s">
        <v>6</v>
      </c>
    </row>
    <row r="3" spans="2:16">
      <c r="B3" s="3">
        <v>1</v>
      </c>
      <c r="C3" s="4" t="s">
        <v>7</v>
      </c>
      <c r="D3" s="3">
        <v>2</v>
      </c>
      <c r="E3" s="3" t="s">
        <v>8</v>
      </c>
      <c r="F3" s="5">
        <v>120000</v>
      </c>
      <c r="G3" s="5">
        <f>F3*D3*2</f>
        <v>480000</v>
      </c>
      <c r="H3" s="5">
        <f>G3</f>
        <v>480000</v>
      </c>
      <c r="J3" s="3">
        <v>1</v>
      </c>
      <c r="K3" s="4" t="s">
        <v>7</v>
      </c>
      <c r="L3" s="3">
        <v>2</v>
      </c>
      <c r="M3" s="3" t="s">
        <v>8</v>
      </c>
      <c r="N3" s="5">
        <v>120000</v>
      </c>
      <c r="O3" s="5">
        <f>N3*L3*2</f>
        <v>480000</v>
      </c>
      <c r="P3" s="5">
        <f>O3</f>
        <v>480000</v>
      </c>
    </row>
    <row r="4" spans="2:16">
      <c r="B4" s="3">
        <v>2</v>
      </c>
      <c r="C4" s="4" t="s">
        <v>9</v>
      </c>
      <c r="D4" s="3">
        <v>2</v>
      </c>
      <c r="E4" s="3" t="s">
        <v>10</v>
      </c>
      <c r="F4" s="5">
        <v>145000</v>
      </c>
      <c r="G4" s="5">
        <f>F4*D4</f>
        <v>290000</v>
      </c>
      <c r="H4" s="5"/>
      <c r="J4" s="3">
        <v>2</v>
      </c>
      <c r="K4" s="4" t="s">
        <v>9</v>
      </c>
      <c r="L4" s="3">
        <v>2</v>
      </c>
      <c r="M4" s="3" t="s">
        <v>10</v>
      </c>
      <c r="N4" s="5">
        <v>145000</v>
      </c>
      <c r="O4" s="5">
        <f>N4*L4</f>
        <v>290000</v>
      </c>
      <c r="P4" s="5"/>
    </row>
    <row r="5" spans="2:16">
      <c r="B5" s="3">
        <v>3</v>
      </c>
      <c r="C5" s="4" t="s">
        <v>24</v>
      </c>
      <c r="D5" s="3">
        <v>2</v>
      </c>
      <c r="E5" s="3" t="s">
        <v>12</v>
      </c>
      <c r="F5" s="5">
        <v>331667</v>
      </c>
      <c r="G5" s="5">
        <v>1700000</v>
      </c>
      <c r="H5" s="5">
        <f t="shared" ref="H5:H7" si="0">F5*D5</f>
        <v>663334</v>
      </c>
      <c r="J5" s="3">
        <v>3</v>
      </c>
      <c r="K5" s="4" t="s">
        <v>25</v>
      </c>
      <c r="L5" s="3">
        <v>2</v>
      </c>
      <c r="M5" s="3" t="s">
        <v>12</v>
      </c>
      <c r="N5" s="5">
        <v>291667</v>
      </c>
      <c r="O5" s="5">
        <v>1700000</v>
      </c>
      <c r="P5" s="5">
        <f t="shared" ref="P5:P7" si="1">N5*L5</f>
        <v>583334</v>
      </c>
    </row>
    <row r="6" spans="2:16">
      <c r="B6" s="3">
        <v>4</v>
      </c>
      <c r="C6" s="4" t="s">
        <v>13</v>
      </c>
      <c r="D6" s="3">
        <v>4</v>
      </c>
      <c r="E6" s="3" t="s">
        <v>12</v>
      </c>
      <c r="F6" s="5">
        <v>1100</v>
      </c>
      <c r="G6" s="5">
        <v>60000</v>
      </c>
      <c r="H6" s="5">
        <f t="shared" si="0"/>
        <v>4400</v>
      </c>
      <c r="J6" s="3">
        <v>4</v>
      </c>
      <c r="K6" s="4" t="s">
        <v>13</v>
      </c>
      <c r="L6" s="3">
        <v>4</v>
      </c>
      <c r="M6" s="3" t="s">
        <v>12</v>
      </c>
      <c r="N6" s="5">
        <v>1100</v>
      </c>
      <c r="O6" s="5">
        <v>60000</v>
      </c>
      <c r="P6" s="5">
        <f t="shared" si="1"/>
        <v>4400</v>
      </c>
    </row>
    <row r="7" spans="2:16">
      <c r="B7" s="3">
        <v>5</v>
      </c>
      <c r="C7" s="4" t="s">
        <v>14</v>
      </c>
      <c r="D7" s="3">
        <v>1</v>
      </c>
      <c r="E7" s="3" t="s">
        <v>15</v>
      </c>
      <c r="F7" s="5">
        <v>10000</v>
      </c>
      <c r="G7" s="5">
        <v>25000</v>
      </c>
      <c r="H7" s="5">
        <f t="shared" si="0"/>
        <v>10000</v>
      </c>
      <c r="J7" s="3">
        <v>5</v>
      </c>
      <c r="K7" s="4" t="s">
        <v>14</v>
      </c>
      <c r="L7" s="3">
        <v>1</v>
      </c>
      <c r="M7" s="3" t="s">
        <v>15</v>
      </c>
      <c r="N7" s="5">
        <v>10000</v>
      </c>
      <c r="O7" s="5">
        <v>25000</v>
      </c>
      <c r="P7" s="5">
        <f t="shared" si="1"/>
        <v>10000</v>
      </c>
    </row>
    <row r="8" spans="2:16">
      <c r="B8" s="3">
        <v>6</v>
      </c>
      <c r="C8" s="4" t="s">
        <v>26</v>
      </c>
      <c r="D8" s="3">
        <v>4</v>
      </c>
      <c r="E8" s="3" t="s">
        <v>27</v>
      </c>
      <c r="F8" s="5">
        <v>5000</v>
      </c>
      <c r="G8" s="5">
        <v>60000</v>
      </c>
      <c r="H8" s="5">
        <v>20000</v>
      </c>
      <c r="J8" s="3">
        <v>6</v>
      </c>
      <c r="K8" s="4" t="s">
        <v>26</v>
      </c>
      <c r="L8" s="3">
        <v>4</v>
      </c>
      <c r="M8" s="3" t="s">
        <v>28</v>
      </c>
      <c r="N8" s="5">
        <v>5000</v>
      </c>
      <c r="O8" s="5">
        <v>60000</v>
      </c>
      <c r="P8" s="5">
        <v>20000</v>
      </c>
    </row>
    <row r="9" spans="2:16">
      <c r="B9" s="3">
        <v>7</v>
      </c>
      <c r="C9" s="4" t="s">
        <v>29</v>
      </c>
      <c r="D9" s="3">
        <v>1</v>
      </c>
      <c r="E9" s="3" t="s">
        <v>15</v>
      </c>
      <c r="F9" s="5">
        <v>5000</v>
      </c>
      <c r="G9" s="5">
        <v>10000</v>
      </c>
      <c r="H9" s="5">
        <v>5000</v>
      </c>
      <c r="J9" s="3">
        <v>7</v>
      </c>
      <c r="K9" s="4" t="s">
        <v>29</v>
      </c>
      <c r="L9" s="3">
        <v>1</v>
      </c>
      <c r="M9" s="3" t="s">
        <v>15</v>
      </c>
      <c r="N9" s="5">
        <v>5000</v>
      </c>
      <c r="O9" s="5">
        <v>10000</v>
      </c>
      <c r="P9" s="5">
        <v>5000</v>
      </c>
    </row>
    <row r="10" spans="2:16">
      <c r="B10" s="3"/>
      <c r="C10" s="4"/>
      <c r="D10" s="3"/>
      <c r="E10" s="3"/>
      <c r="F10" s="5"/>
      <c r="G10" s="5"/>
      <c r="H10" s="5"/>
      <c r="J10" s="3"/>
      <c r="K10" s="4"/>
      <c r="L10" s="3"/>
      <c r="M10" s="3"/>
      <c r="N10" s="5"/>
      <c r="O10" s="5"/>
      <c r="P10" s="5"/>
    </row>
    <row r="11" spans="2:16">
      <c r="B11" s="3"/>
      <c r="C11" s="4" t="s">
        <v>17</v>
      </c>
      <c r="D11" s="3"/>
      <c r="E11" s="3"/>
      <c r="F11" s="5">
        <f>SUM(F3:F10)</f>
        <v>617767</v>
      </c>
      <c r="G11" s="5">
        <f>SUM(G3:G10)</f>
        <v>2625000</v>
      </c>
      <c r="H11" s="5"/>
      <c r="J11" s="3"/>
      <c r="K11" s="4" t="s">
        <v>17</v>
      </c>
      <c r="L11" s="3"/>
      <c r="M11" s="3"/>
      <c r="N11" s="5">
        <f>SUM(N3:N10)</f>
        <v>577767</v>
      </c>
      <c r="O11" s="5">
        <f>SUM(O3:O10)</f>
        <v>2625000</v>
      </c>
      <c r="P11" s="5"/>
    </row>
    <row r="12" spans="2:16">
      <c r="B12" s="6" t="s">
        <v>24</v>
      </c>
      <c r="C12" s="7"/>
      <c r="D12" s="7"/>
      <c r="E12" s="7"/>
      <c r="F12" s="5" t="s">
        <v>17</v>
      </c>
      <c r="G12" s="5">
        <f>G11</f>
        <v>2625000</v>
      </c>
      <c r="H12" s="8">
        <f>SUM(H3:H11)</f>
        <v>1182734</v>
      </c>
      <c r="J12" s="6" t="s">
        <v>30</v>
      </c>
      <c r="K12" s="7"/>
      <c r="L12" s="7"/>
      <c r="M12" s="7"/>
      <c r="N12" s="5" t="s">
        <v>17</v>
      </c>
      <c r="O12" s="5">
        <f>O11</f>
        <v>2625000</v>
      </c>
      <c r="P12" s="8">
        <f>SUM(P3:P11)</f>
        <v>1102734</v>
      </c>
    </row>
    <row r="13" spans="2:16">
      <c r="B13" s="9"/>
      <c r="C13" s="10"/>
      <c r="D13" s="10"/>
      <c r="E13" s="10"/>
      <c r="F13" s="5" t="s">
        <v>18</v>
      </c>
      <c r="G13" s="5"/>
      <c r="H13" s="5">
        <f>H12*5%</f>
        <v>59136.700000000004</v>
      </c>
      <c r="J13" s="9"/>
      <c r="K13" s="10"/>
      <c r="L13" s="10"/>
      <c r="M13" s="10"/>
      <c r="N13" s="5" t="s">
        <v>18</v>
      </c>
      <c r="O13" s="5"/>
      <c r="P13" s="5">
        <f>P12*5%</f>
        <v>55136.700000000004</v>
      </c>
    </row>
    <row r="14" spans="2:16">
      <c r="B14" s="9"/>
      <c r="C14" s="10"/>
      <c r="D14" s="10"/>
      <c r="E14" s="10"/>
      <c r="F14" s="5" t="s">
        <v>19</v>
      </c>
      <c r="G14" s="5"/>
      <c r="H14" s="5">
        <f>SUM(H12:H13)</f>
        <v>1241870.7</v>
      </c>
      <c r="J14" s="9"/>
      <c r="K14" s="10"/>
      <c r="L14" s="10"/>
      <c r="M14" s="10"/>
      <c r="N14" s="5" t="s">
        <v>19</v>
      </c>
      <c r="O14" s="5"/>
      <c r="P14" s="5">
        <f>SUM(P12:P13)</f>
        <v>1157870.7</v>
      </c>
    </row>
    <row r="15" spans="2:16">
      <c r="B15" s="9"/>
      <c r="C15" s="10"/>
      <c r="D15" s="10"/>
      <c r="E15" s="10"/>
      <c r="F15" s="11" t="s">
        <v>20</v>
      </c>
      <c r="G15" s="11"/>
      <c r="H15" s="11">
        <v>2250000</v>
      </c>
      <c r="J15" s="9"/>
      <c r="K15" s="10"/>
      <c r="L15" s="10"/>
      <c r="M15" s="10"/>
      <c r="N15" s="11" t="s">
        <v>20</v>
      </c>
      <c r="O15" s="11"/>
      <c r="P15" s="11">
        <v>2250000</v>
      </c>
    </row>
    <row r="16" spans="2:16">
      <c r="B16" s="9"/>
      <c r="C16" s="10"/>
      <c r="D16" s="10"/>
      <c r="E16" s="10"/>
      <c r="F16" s="12" t="s">
        <v>21</v>
      </c>
      <c r="G16" s="12"/>
      <c r="H16" s="12">
        <f>H15-H14</f>
        <v>1008129.3</v>
      </c>
      <c r="J16" s="9"/>
      <c r="K16" s="10"/>
      <c r="L16" s="10"/>
      <c r="M16" s="10"/>
      <c r="N16" s="12" t="s">
        <v>21</v>
      </c>
      <c r="O16" s="12"/>
      <c r="P16" s="12">
        <f>P15-P14</f>
        <v>1092129.3</v>
      </c>
    </row>
    <row r="17" spans="2:16">
      <c r="B17" s="13"/>
      <c r="C17" s="14"/>
      <c r="D17" s="14"/>
      <c r="E17" s="14"/>
      <c r="F17" s="15" t="s">
        <v>22</v>
      </c>
      <c r="G17" s="15"/>
      <c r="H17" s="16">
        <f>H16/H15</f>
        <v>0.44805746666666668</v>
      </c>
      <c r="J17" s="13"/>
      <c r="K17" s="14"/>
      <c r="L17" s="14"/>
      <c r="M17" s="14"/>
      <c r="N17" s="15" t="s">
        <v>22</v>
      </c>
      <c r="O17" s="15"/>
      <c r="P17" s="16">
        <f>P16/P15</f>
        <v>0.48539080000000001</v>
      </c>
    </row>
    <row r="19" spans="2:16">
      <c r="B19" s="1" t="s">
        <v>0</v>
      </c>
      <c r="C19" s="1" t="s">
        <v>1</v>
      </c>
      <c r="D19" s="1" t="s">
        <v>2</v>
      </c>
      <c r="E19" s="1" t="s">
        <v>3</v>
      </c>
      <c r="F19" s="2" t="s">
        <v>4</v>
      </c>
      <c r="G19" s="2" t="s">
        <v>5</v>
      </c>
      <c r="H19" s="2" t="s">
        <v>6</v>
      </c>
      <c r="J19" s="1" t="s">
        <v>0</v>
      </c>
      <c r="K19" s="1" t="s">
        <v>1</v>
      </c>
      <c r="L19" s="1" t="s">
        <v>2</v>
      </c>
      <c r="M19" s="1" t="s">
        <v>3</v>
      </c>
      <c r="N19" s="2" t="s">
        <v>4</v>
      </c>
      <c r="O19" s="2" t="s">
        <v>5</v>
      </c>
      <c r="P19" s="2" t="s">
        <v>6</v>
      </c>
    </row>
    <row r="20" spans="2:16">
      <c r="B20" s="3">
        <v>1</v>
      </c>
      <c r="C20" s="4" t="s">
        <v>7</v>
      </c>
      <c r="D20" s="3">
        <v>2</v>
      </c>
      <c r="E20" s="3" t="s">
        <v>8</v>
      </c>
      <c r="F20" s="5">
        <v>120000</v>
      </c>
      <c r="G20" s="5">
        <f>F20*D20*2</f>
        <v>480000</v>
      </c>
      <c r="H20" s="5">
        <f>G20</f>
        <v>480000</v>
      </c>
      <c r="J20" s="3">
        <v>1</v>
      </c>
      <c r="K20" s="4" t="s">
        <v>7</v>
      </c>
      <c r="L20" s="3">
        <v>2</v>
      </c>
      <c r="M20" s="3" t="s">
        <v>8</v>
      </c>
      <c r="N20" s="5">
        <v>120000</v>
      </c>
      <c r="O20" s="5">
        <f>N20*L20*2</f>
        <v>480000</v>
      </c>
      <c r="P20" s="5">
        <f>O20</f>
        <v>480000</v>
      </c>
    </row>
    <row r="21" spans="2:16">
      <c r="B21" s="3">
        <v>2</v>
      </c>
      <c r="C21" s="4" t="s">
        <v>9</v>
      </c>
      <c r="D21" s="3">
        <v>2</v>
      </c>
      <c r="E21" s="3" t="s">
        <v>10</v>
      </c>
      <c r="F21" s="5">
        <v>145000</v>
      </c>
      <c r="G21" s="5">
        <f>F21*D21</f>
        <v>290000</v>
      </c>
      <c r="H21" s="5"/>
      <c r="J21" s="3">
        <v>2</v>
      </c>
      <c r="K21" s="4" t="s">
        <v>9</v>
      </c>
      <c r="L21" s="3">
        <v>2</v>
      </c>
      <c r="M21" s="3" t="s">
        <v>10</v>
      </c>
      <c r="N21" s="5">
        <v>145000</v>
      </c>
      <c r="O21" s="5">
        <f>N21*L21</f>
        <v>290000</v>
      </c>
      <c r="P21" s="5"/>
    </row>
    <row r="22" spans="2:16">
      <c r="B22" s="3">
        <v>3</v>
      </c>
      <c r="C22" s="4" t="s">
        <v>36</v>
      </c>
      <c r="D22" s="3">
        <v>2</v>
      </c>
      <c r="E22" s="3" t="s">
        <v>12</v>
      </c>
      <c r="F22" s="5">
        <v>337500</v>
      </c>
      <c r="G22" s="5">
        <v>1800000</v>
      </c>
      <c r="H22" s="5">
        <f t="shared" ref="H22:H24" si="2">F22*D22</f>
        <v>675000</v>
      </c>
      <c r="J22" s="3">
        <v>3</v>
      </c>
      <c r="K22" s="4" t="s">
        <v>37</v>
      </c>
      <c r="L22" s="3">
        <v>2</v>
      </c>
      <c r="M22" s="3" t="s">
        <v>12</v>
      </c>
      <c r="N22" s="5">
        <v>337500</v>
      </c>
      <c r="O22" s="5">
        <v>1800000</v>
      </c>
      <c r="P22" s="5">
        <f t="shared" ref="P22:P24" si="3">N22*L22</f>
        <v>675000</v>
      </c>
    </row>
    <row r="23" spans="2:16">
      <c r="B23" s="3">
        <v>4</v>
      </c>
      <c r="C23" s="4" t="s">
        <v>13</v>
      </c>
      <c r="D23" s="3">
        <v>4</v>
      </c>
      <c r="E23" s="3" t="s">
        <v>12</v>
      </c>
      <c r="F23" s="5">
        <v>1100</v>
      </c>
      <c r="G23" s="5">
        <v>60000</v>
      </c>
      <c r="H23" s="5">
        <f t="shared" si="2"/>
        <v>4400</v>
      </c>
      <c r="J23" s="3">
        <v>4</v>
      </c>
      <c r="K23" s="4" t="s">
        <v>13</v>
      </c>
      <c r="L23" s="3">
        <v>4</v>
      </c>
      <c r="M23" s="3" t="s">
        <v>12</v>
      </c>
      <c r="N23" s="5">
        <v>1100</v>
      </c>
      <c r="O23" s="5">
        <v>60000</v>
      </c>
      <c r="P23" s="5">
        <f t="shared" si="3"/>
        <v>4400</v>
      </c>
    </row>
    <row r="24" spans="2:16">
      <c r="B24" s="3">
        <v>5</v>
      </c>
      <c r="C24" s="4" t="s">
        <v>14</v>
      </c>
      <c r="D24" s="3">
        <v>1</v>
      </c>
      <c r="E24" s="3" t="s">
        <v>15</v>
      </c>
      <c r="F24" s="5">
        <v>10000</v>
      </c>
      <c r="G24" s="5">
        <v>25000</v>
      </c>
      <c r="H24" s="5">
        <f t="shared" si="2"/>
        <v>10000</v>
      </c>
      <c r="J24" s="3">
        <v>5</v>
      </c>
      <c r="K24" s="4" t="s">
        <v>14</v>
      </c>
      <c r="L24" s="3">
        <v>1</v>
      </c>
      <c r="M24" s="3" t="s">
        <v>15</v>
      </c>
      <c r="N24" s="5">
        <v>10000</v>
      </c>
      <c r="O24" s="5">
        <v>25000</v>
      </c>
      <c r="P24" s="5">
        <f t="shared" si="3"/>
        <v>10000</v>
      </c>
    </row>
    <row r="25" spans="2:16">
      <c r="B25" s="3">
        <v>6</v>
      </c>
      <c r="C25" s="4" t="s">
        <v>26</v>
      </c>
      <c r="D25" s="3">
        <v>4</v>
      </c>
      <c r="E25" s="3" t="s">
        <v>27</v>
      </c>
      <c r="F25" s="5">
        <v>5000</v>
      </c>
      <c r="G25" s="5">
        <v>60000</v>
      </c>
      <c r="H25" s="5">
        <v>20000</v>
      </c>
      <c r="J25" s="3">
        <v>6</v>
      </c>
      <c r="K25" s="4" t="s">
        <v>26</v>
      </c>
      <c r="L25" s="3">
        <v>4</v>
      </c>
      <c r="M25" s="3" t="s">
        <v>28</v>
      </c>
      <c r="N25" s="5">
        <v>5000</v>
      </c>
      <c r="O25" s="5">
        <v>60000</v>
      </c>
      <c r="P25" s="5">
        <v>20000</v>
      </c>
    </row>
    <row r="26" spans="2:16">
      <c r="B26" s="3">
        <v>7</v>
      </c>
      <c r="C26" s="4" t="s">
        <v>29</v>
      </c>
      <c r="D26" s="3">
        <v>1</v>
      </c>
      <c r="E26" s="3" t="s">
        <v>15</v>
      </c>
      <c r="F26" s="5">
        <v>5000</v>
      </c>
      <c r="G26" s="5">
        <v>10000</v>
      </c>
      <c r="H26" s="5">
        <v>5000</v>
      </c>
      <c r="J26" s="3">
        <v>7</v>
      </c>
      <c r="K26" s="4" t="s">
        <v>29</v>
      </c>
      <c r="L26" s="3">
        <v>1</v>
      </c>
      <c r="M26" s="3" t="s">
        <v>15</v>
      </c>
      <c r="N26" s="5">
        <v>5000</v>
      </c>
      <c r="O26" s="5">
        <v>10000</v>
      </c>
      <c r="P26" s="5">
        <v>5000</v>
      </c>
    </row>
    <row r="27" spans="2:16">
      <c r="B27" s="3"/>
      <c r="C27" s="4"/>
      <c r="D27" s="3"/>
      <c r="E27" s="3"/>
      <c r="F27" s="5"/>
      <c r="G27" s="5"/>
      <c r="H27" s="5"/>
      <c r="J27" s="3"/>
      <c r="K27" s="4"/>
      <c r="L27" s="3"/>
      <c r="M27" s="3"/>
      <c r="N27" s="5"/>
      <c r="O27" s="5"/>
      <c r="P27" s="5"/>
    </row>
    <row r="28" spans="2:16">
      <c r="B28" s="3"/>
      <c r="C28" s="4" t="s">
        <v>17</v>
      </c>
      <c r="D28" s="3"/>
      <c r="E28" s="3"/>
      <c r="F28" s="5">
        <f>SUM(F20:F27)</f>
        <v>623600</v>
      </c>
      <c r="G28" s="5">
        <f>SUM(G20:G27)</f>
        <v>2725000</v>
      </c>
      <c r="H28" s="5"/>
      <c r="J28" s="3"/>
      <c r="K28" s="4" t="s">
        <v>17</v>
      </c>
      <c r="L28" s="3"/>
      <c r="M28" s="3"/>
      <c r="N28" s="5">
        <f>SUM(N20:N27)</f>
        <v>623600</v>
      </c>
      <c r="O28" s="5">
        <f>SUM(O20:O27)</f>
        <v>2725000</v>
      </c>
      <c r="P28" s="5"/>
    </row>
    <row r="29" spans="2:16">
      <c r="B29" s="6" t="s">
        <v>36</v>
      </c>
      <c r="C29" s="7"/>
      <c r="D29" s="7"/>
      <c r="E29" s="7"/>
      <c r="F29" s="5" t="s">
        <v>17</v>
      </c>
      <c r="G29" s="5">
        <f>G28</f>
        <v>2725000</v>
      </c>
      <c r="H29" s="8">
        <f>SUM(H20:H28)</f>
        <v>1194400</v>
      </c>
      <c r="J29" s="6" t="s">
        <v>37</v>
      </c>
      <c r="K29" s="7"/>
      <c r="L29" s="7"/>
      <c r="M29" s="7"/>
      <c r="N29" s="5" t="s">
        <v>17</v>
      </c>
      <c r="O29" s="5">
        <f>O28</f>
        <v>2725000</v>
      </c>
      <c r="P29" s="8">
        <f>SUM(P20:P28)</f>
        <v>1194400</v>
      </c>
    </row>
    <row r="30" spans="2:16">
      <c r="B30" s="9"/>
      <c r="C30" s="10"/>
      <c r="D30" s="10"/>
      <c r="E30" s="10"/>
      <c r="F30" s="5" t="s">
        <v>18</v>
      </c>
      <c r="G30" s="5"/>
      <c r="H30" s="5">
        <f>H29*5%</f>
        <v>59720</v>
      </c>
      <c r="J30" s="9"/>
      <c r="K30" s="10"/>
      <c r="L30" s="10"/>
      <c r="M30" s="10"/>
      <c r="N30" s="5" t="s">
        <v>18</v>
      </c>
      <c r="O30" s="5"/>
      <c r="P30" s="5">
        <f>P29*5%</f>
        <v>59720</v>
      </c>
    </row>
    <row r="31" spans="2:16">
      <c r="B31" s="9"/>
      <c r="C31" s="10"/>
      <c r="D31" s="10"/>
      <c r="E31" s="10"/>
      <c r="F31" s="5" t="s">
        <v>19</v>
      </c>
      <c r="G31" s="5"/>
      <c r="H31" s="5">
        <f>SUM(H29:H30)</f>
        <v>1254120</v>
      </c>
      <c r="J31" s="9"/>
      <c r="K31" s="10"/>
      <c r="L31" s="10"/>
      <c r="M31" s="10"/>
      <c r="N31" s="5" t="s">
        <v>19</v>
      </c>
      <c r="O31" s="5"/>
      <c r="P31" s="5">
        <f>SUM(P29:P30)</f>
        <v>1254120</v>
      </c>
    </row>
    <row r="32" spans="2:16">
      <c r="B32" s="9"/>
      <c r="C32" s="10"/>
      <c r="D32" s="10"/>
      <c r="E32" s="10"/>
      <c r="F32" s="11" t="s">
        <v>20</v>
      </c>
      <c r="G32" s="11"/>
      <c r="H32" s="11">
        <v>2350000</v>
      </c>
      <c r="J32" s="9"/>
      <c r="K32" s="10"/>
      <c r="L32" s="10"/>
      <c r="M32" s="10"/>
      <c r="N32" s="11" t="s">
        <v>20</v>
      </c>
      <c r="O32" s="11"/>
      <c r="P32" s="11">
        <v>2350000</v>
      </c>
    </row>
    <row r="33" spans="2:16">
      <c r="B33" s="9"/>
      <c r="C33" s="10"/>
      <c r="D33" s="10"/>
      <c r="E33" s="10"/>
      <c r="F33" s="12" t="s">
        <v>21</v>
      </c>
      <c r="G33" s="12"/>
      <c r="H33" s="12">
        <f>H32-H31</f>
        <v>1095880</v>
      </c>
      <c r="J33" s="9"/>
      <c r="K33" s="10"/>
      <c r="L33" s="10"/>
      <c r="M33" s="10"/>
      <c r="N33" s="12" t="s">
        <v>21</v>
      </c>
      <c r="O33" s="12"/>
      <c r="P33" s="12">
        <f>P32-P31</f>
        <v>1095880</v>
      </c>
    </row>
    <row r="34" spans="2:16">
      <c r="B34" s="13"/>
      <c r="C34" s="14"/>
      <c r="D34" s="14"/>
      <c r="E34" s="14"/>
      <c r="F34" s="15" t="s">
        <v>22</v>
      </c>
      <c r="G34" s="15"/>
      <c r="H34" s="16">
        <f>H33/H32</f>
        <v>0.46633191489361703</v>
      </c>
      <c r="J34" s="13"/>
      <c r="K34" s="14"/>
      <c r="L34" s="14"/>
      <c r="M34" s="14"/>
      <c r="N34" s="15" t="s">
        <v>22</v>
      </c>
      <c r="O34" s="15"/>
      <c r="P34" s="16">
        <f>P33/P32</f>
        <v>0.46633191489361703</v>
      </c>
    </row>
  </sheetData>
  <mergeCells count="4">
    <mergeCell ref="B12:E17"/>
    <mergeCell ref="J12:M17"/>
    <mergeCell ref="B29:E34"/>
    <mergeCell ref="J29:M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34AC-C411-4F45-91FA-8283797A4118}">
  <dimension ref="B2:Q34"/>
  <sheetViews>
    <sheetView topLeftCell="B1" workbookViewId="0">
      <selection activeCell="P12" sqref="P12"/>
    </sheetView>
  </sheetViews>
  <sheetFormatPr defaultColWidth="9.140625" defaultRowHeight="15"/>
  <cols>
    <col min="1" max="1" width="3.140625" customWidth="1"/>
    <col min="2" max="2" width="4.140625" customWidth="1"/>
    <col min="3" max="3" width="21.28515625" customWidth="1"/>
    <col min="6" max="7" width="13.7109375" customWidth="1"/>
    <col min="8" max="8" width="10.5703125" customWidth="1"/>
    <col min="10" max="10" width="4.140625" customWidth="1"/>
    <col min="11" max="11" width="21.28515625" customWidth="1"/>
    <col min="14" max="14" width="13.7109375" customWidth="1"/>
    <col min="15" max="15" width="11.85546875" customWidth="1"/>
    <col min="16" max="16" width="10.5703125" customWidth="1"/>
  </cols>
  <sheetData>
    <row r="2" spans="2:17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5</v>
      </c>
      <c r="H2" s="2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2" t="s">
        <v>4</v>
      </c>
      <c r="O2" s="2" t="s">
        <v>5</v>
      </c>
      <c r="P2" s="2" t="s">
        <v>6</v>
      </c>
    </row>
    <row r="3" spans="2:17">
      <c r="B3" s="3">
        <v>1</v>
      </c>
      <c r="C3" s="4" t="s">
        <v>7</v>
      </c>
      <c r="D3" s="3">
        <v>3</v>
      </c>
      <c r="E3" s="3" t="s">
        <v>8</v>
      </c>
      <c r="F3" s="5">
        <v>120000</v>
      </c>
      <c r="G3" s="5">
        <f>F3*D3*3</f>
        <v>1080000</v>
      </c>
      <c r="H3" s="5">
        <f>G3</f>
        <v>1080000</v>
      </c>
      <c r="J3" s="3">
        <v>1</v>
      </c>
      <c r="K3" s="4" t="s">
        <v>7</v>
      </c>
      <c r="L3" s="3">
        <v>3</v>
      </c>
      <c r="M3" s="3" t="s">
        <v>8</v>
      </c>
      <c r="N3" s="5">
        <v>120000</v>
      </c>
      <c r="O3" s="5">
        <f>N3*L3*3</f>
        <v>1080000</v>
      </c>
      <c r="P3" s="5">
        <f>O3</f>
        <v>1080000</v>
      </c>
    </row>
    <row r="4" spans="2:17">
      <c r="B4" s="3">
        <v>2</v>
      </c>
      <c r="C4" s="4" t="s">
        <v>9</v>
      </c>
      <c r="D4" s="3">
        <v>3</v>
      </c>
      <c r="E4" s="3" t="s">
        <v>10</v>
      </c>
      <c r="F4" s="5">
        <v>145000</v>
      </c>
      <c r="G4" s="5">
        <f>F4*D4</f>
        <v>435000</v>
      </c>
      <c r="H4" s="5"/>
      <c r="J4" s="3">
        <v>2</v>
      </c>
      <c r="K4" s="4" t="s">
        <v>9</v>
      </c>
      <c r="L4" s="3">
        <v>3</v>
      </c>
      <c r="M4" s="3" t="s">
        <v>10</v>
      </c>
      <c r="N4" s="5">
        <v>145000</v>
      </c>
      <c r="O4" s="5">
        <f>N4*L4</f>
        <v>435000</v>
      </c>
      <c r="P4" s="5"/>
      <c r="Q4" s="18">
        <f>P3/3</f>
        <v>360000</v>
      </c>
    </row>
    <row r="5" spans="2:17">
      <c r="B5" s="3">
        <v>3</v>
      </c>
      <c r="C5" s="4" t="s">
        <v>24</v>
      </c>
      <c r="D5" s="3">
        <v>3</v>
      </c>
      <c r="E5" s="3" t="s">
        <v>12</v>
      </c>
      <c r="F5" s="5">
        <f>'Twin Bottle'!F5</f>
        <v>331667</v>
      </c>
      <c r="G5" s="5">
        <f>3*650000</f>
        <v>1950000</v>
      </c>
      <c r="H5" s="5">
        <f t="shared" ref="H5:H9" si="0">F5*D5</f>
        <v>995001</v>
      </c>
      <c r="J5" s="3">
        <v>3</v>
      </c>
      <c r="K5" s="4" t="s">
        <v>25</v>
      </c>
      <c r="L5" s="3">
        <v>3</v>
      </c>
      <c r="M5" s="3" t="s">
        <v>12</v>
      </c>
      <c r="N5" s="5">
        <f>'Twin Bottle'!N5</f>
        <v>291667</v>
      </c>
      <c r="O5" s="5">
        <f>3*650000</f>
        <v>1950000</v>
      </c>
      <c r="P5" s="5">
        <f t="shared" ref="P5:P7" si="1">N5*L5</f>
        <v>875001</v>
      </c>
    </row>
    <row r="6" spans="2:17">
      <c r="B6" s="3">
        <v>4</v>
      </c>
      <c r="C6" s="4" t="s">
        <v>13</v>
      </c>
      <c r="D6" s="3">
        <v>6</v>
      </c>
      <c r="E6" s="3" t="s">
        <v>12</v>
      </c>
      <c r="F6" s="5">
        <v>1100</v>
      </c>
      <c r="G6" s="5">
        <v>60000</v>
      </c>
      <c r="H6" s="5">
        <f t="shared" si="0"/>
        <v>6600</v>
      </c>
      <c r="J6" s="3">
        <v>4</v>
      </c>
      <c r="K6" s="4" t="s">
        <v>13</v>
      </c>
      <c r="L6" s="3">
        <v>6</v>
      </c>
      <c r="M6" s="3" t="s">
        <v>12</v>
      </c>
      <c r="N6" s="5">
        <v>1100</v>
      </c>
      <c r="O6" s="5">
        <v>60000</v>
      </c>
      <c r="P6" s="5">
        <f t="shared" si="1"/>
        <v>6600</v>
      </c>
    </row>
    <row r="7" spans="2:17">
      <c r="B7" s="3">
        <v>5</v>
      </c>
      <c r="C7" s="4" t="s">
        <v>14</v>
      </c>
      <c r="D7" s="3">
        <v>2</v>
      </c>
      <c r="E7" s="3" t="s">
        <v>15</v>
      </c>
      <c r="F7" s="5">
        <v>10000</v>
      </c>
      <c r="G7" s="5">
        <v>50000</v>
      </c>
      <c r="H7" s="5">
        <f t="shared" si="0"/>
        <v>20000</v>
      </c>
      <c r="J7" s="3">
        <v>5</v>
      </c>
      <c r="K7" s="4" t="s">
        <v>14</v>
      </c>
      <c r="L7" s="3">
        <v>2</v>
      </c>
      <c r="M7" s="3" t="s">
        <v>15</v>
      </c>
      <c r="N7" s="5">
        <v>10000</v>
      </c>
      <c r="O7" s="5">
        <v>50000</v>
      </c>
      <c r="P7" s="5">
        <f t="shared" si="1"/>
        <v>20000</v>
      </c>
    </row>
    <row r="8" spans="2:17">
      <c r="B8" s="3">
        <v>6</v>
      </c>
      <c r="C8" s="4" t="s">
        <v>26</v>
      </c>
      <c r="D8" s="3">
        <v>6</v>
      </c>
      <c r="E8" s="3" t="s">
        <v>27</v>
      </c>
      <c r="F8" s="5">
        <v>5000</v>
      </c>
      <c r="G8" s="5">
        <v>90000</v>
      </c>
      <c r="H8" s="5">
        <f t="shared" si="0"/>
        <v>30000</v>
      </c>
      <c r="J8" s="3">
        <v>6</v>
      </c>
      <c r="K8" s="4" t="s">
        <v>26</v>
      </c>
      <c r="L8" s="3">
        <v>6</v>
      </c>
      <c r="M8" s="3" t="s">
        <v>28</v>
      </c>
      <c r="N8" s="5">
        <v>5000</v>
      </c>
      <c r="O8" s="5">
        <v>90000</v>
      </c>
      <c r="P8" s="5">
        <v>30000</v>
      </c>
    </row>
    <row r="9" spans="2:17">
      <c r="B9" s="3">
        <v>7</v>
      </c>
      <c r="C9" s="4" t="s">
        <v>29</v>
      </c>
      <c r="D9" s="3">
        <v>2</v>
      </c>
      <c r="E9" s="3" t="s">
        <v>15</v>
      </c>
      <c r="F9" s="5">
        <v>5000</v>
      </c>
      <c r="G9" s="5">
        <v>30000</v>
      </c>
      <c r="H9" s="5">
        <f t="shared" si="0"/>
        <v>10000</v>
      </c>
      <c r="J9" s="3">
        <v>7</v>
      </c>
      <c r="K9" s="4" t="s">
        <v>29</v>
      </c>
      <c r="L9" s="3">
        <v>2</v>
      </c>
      <c r="M9" s="3" t="s">
        <v>15</v>
      </c>
      <c r="N9" s="5">
        <v>5000</v>
      </c>
      <c r="O9" s="5">
        <v>30000</v>
      </c>
      <c r="P9" s="5">
        <v>10000</v>
      </c>
    </row>
    <row r="10" spans="2:17">
      <c r="B10" s="3"/>
      <c r="C10" s="4"/>
      <c r="D10" s="3"/>
      <c r="E10" s="3"/>
      <c r="F10" s="5"/>
      <c r="G10" s="5"/>
      <c r="H10" s="5"/>
      <c r="J10" s="3"/>
      <c r="K10" s="4"/>
      <c r="L10" s="3"/>
      <c r="M10" s="3"/>
      <c r="N10" s="5"/>
      <c r="O10" s="5"/>
      <c r="P10" s="5"/>
    </row>
    <row r="11" spans="2:17">
      <c r="B11" s="3"/>
      <c r="C11" s="4" t="s">
        <v>17</v>
      </c>
      <c r="D11" s="3"/>
      <c r="E11" s="3"/>
      <c r="F11" s="5">
        <f>SUM(F3:F10)</f>
        <v>617767</v>
      </c>
      <c r="G11" s="5">
        <f>SUM(G3:G10)</f>
        <v>3695000</v>
      </c>
      <c r="H11" s="5"/>
      <c r="J11" s="3"/>
      <c r="K11" s="4" t="s">
        <v>17</v>
      </c>
      <c r="L11" s="3"/>
      <c r="M11" s="3"/>
      <c r="N11" s="5">
        <f>SUM(N3:N10)</f>
        <v>577767</v>
      </c>
      <c r="O11" s="5">
        <f>SUM(O3:O10)</f>
        <v>3695000</v>
      </c>
      <c r="P11" s="5"/>
    </row>
    <row r="12" spans="2:17" ht="15.75">
      <c r="B12" s="19" t="s">
        <v>24</v>
      </c>
      <c r="C12" s="20"/>
      <c r="D12" s="20"/>
      <c r="E12" s="20"/>
      <c r="F12" s="5" t="s">
        <v>17</v>
      </c>
      <c r="G12" s="5">
        <f>G11</f>
        <v>3695000</v>
      </c>
      <c r="H12" s="8">
        <f>SUM(H3:H10)</f>
        <v>2141601</v>
      </c>
      <c r="J12" s="19" t="s">
        <v>30</v>
      </c>
      <c r="K12" s="20"/>
      <c r="L12" s="20"/>
      <c r="M12" s="20"/>
      <c r="N12" s="5" t="s">
        <v>17</v>
      </c>
      <c r="O12" s="5">
        <f>O11</f>
        <v>3695000</v>
      </c>
      <c r="P12" s="8">
        <f>SUM(P3:P10)</f>
        <v>2021601</v>
      </c>
    </row>
    <row r="13" spans="2:17" ht="15.75">
      <c r="B13" s="21" t="s">
        <v>38</v>
      </c>
      <c r="C13" s="22"/>
      <c r="D13" s="22"/>
      <c r="E13" s="22"/>
      <c r="F13" s="5" t="s">
        <v>18</v>
      </c>
      <c r="G13" s="5"/>
      <c r="H13" s="5">
        <f>H12*5%</f>
        <v>107080.05</v>
      </c>
      <c r="J13" s="21" t="s">
        <v>31</v>
      </c>
      <c r="K13" s="22"/>
      <c r="L13" s="22"/>
      <c r="M13" s="22"/>
      <c r="N13" s="5" t="s">
        <v>18</v>
      </c>
      <c r="O13" s="5"/>
      <c r="P13" s="5">
        <f>P12*5%</f>
        <v>101080.05</v>
      </c>
    </row>
    <row r="14" spans="2:17" ht="15.75">
      <c r="B14" s="23"/>
      <c r="C14" s="24"/>
      <c r="D14" s="24"/>
      <c r="E14" s="24"/>
      <c r="F14" s="5" t="s">
        <v>19</v>
      </c>
      <c r="G14" s="5"/>
      <c r="H14" s="5">
        <f>SUM(H12:H13)</f>
        <v>2248681.0499999998</v>
      </c>
      <c r="J14" s="23"/>
      <c r="K14" s="24"/>
      <c r="L14" s="24"/>
      <c r="M14" s="24"/>
      <c r="N14" s="5" t="s">
        <v>19</v>
      </c>
      <c r="O14" s="5"/>
      <c r="P14" s="5">
        <f>SUM(P12:P13)</f>
        <v>2122681.0499999998</v>
      </c>
    </row>
    <row r="15" spans="2:17" ht="15.75">
      <c r="B15" s="21" t="s">
        <v>39</v>
      </c>
      <c r="C15" s="22"/>
      <c r="D15" s="22"/>
      <c r="E15" s="22"/>
      <c r="F15" s="11" t="s">
        <v>20</v>
      </c>
      <c r="G15" s="11"/>
      <c r="H15" s="11">
        <v>3350000</v>
      </c>
      <c r="J15" s="21" t="s">
        <v>39</v>
      </c>
      <c r="K15" s="22"/>
      <c r="L15" s="22"/>
      <c r="M15" s="22"/>
      <c r="N15" s="11" t="s">
        <v>20</v>
      </c>
      <c r="O15" s="11"/>
      <c r="P15" s="11">
        <v>3350000</v>
      </c>
    </row>
    <row r="16" spans="2:17" ht="15.75">
      <c r="B16" s="23"/>
      <c r="C16" s="24"/>
      <c r="D16" s="24"/>
      <c r="E16" s="24"/>
      <c r="F16" s="12" t="s">
        <v>21</v>
      </c>
      <c r="G16" s="12"/>
      <c r="H16" s="12">
        <f>H15-H14</f>
        <v>1101318.9500000002</v>
      </c>
      <c r="J16" s="23"/>
      <c r="K16" s="24"/>
      <c r="L16" s="24"/>
      <c r="M16" s="24"/>
      <c r="N16" s="12" t="s">
        <v>21</v>
      </c>
      <c r="O16" s="12"/>
      <c r="P16" s="12">
        <f>P15-P14</f>
        <v>1227318.9500000002</v>
      </c>
    </row>
    <row r="17" spans="2:16" ht="15.75">
      <c r="B17" s="25"/>
      <c r="C17" s="26"/>
      <c r="D17" s="26"/>
      <c r="E17" s="26"/>
      <c r="F17" s="15" t="s">
        <v>22</v>
      </c>
      <c r="G17" s="15"/>
      <c r="H17" s="16">
        <f>H16/H15</f>
        <v>0.32875192537313436</v>
      </c>
      <c r="J17" s="25"/>
      <c r="K17" s="26"/>
      <c r="L17" s="26"/>
      <c r="M17" s="26"/>
      <c r="N17" s="15" t="s">
        <v>22</v>
      </c>
      <c r="O17" s="15"/>
      <c r="P17" s="16">
        <f>P16/P15</f>
        <v>0.36636386567164186</v>
      </c>
    </row>
    <row r="19" spans="2:16">
      <c r="B19" s="1" t="s">
        <v>0</v>
      </c>
      <c r="C19" s="1" t="s">
        <v>1</v>
      </c>
      <c r="D19" s="1" t="s">
        <v>2</v>
      </c>
      <c r="E19" s="1" t="s">
        <v>3</v>
      </c>
      <c r="F19" s="2" t="s">
        <v>4</v>
      </c>
      <c r="G19" s="2" t="s">
        <v>5</v>
      </c>
      <c r="H19" s="2" t="s">
        <v>6</v>
      </c>
      <c r="J19" s="1" t="s">
        <v>0</v>
      </c>
      <c r="K19" s="1" t="s">
        <v>1</v>
      </c>
      <c r="L19" s="1" t="s">
        <v>2</v>
      </c>
      <c r="M19" s="1" t="s">
        <v>3</v>
      </c>
      <c r="N19" s="2" t="s">
        <v>4</v>
      </c>
      <c r="O19" s="2" t="s">
        <v>5</v>
      </c>
      <c r="P19" s="2" t="s">
        <v>6</v>
      </c>
    </row>
    <row r="20" spans="2:16">
      <c r="B20" s="3">
        <v>1</v>
      </c>
      <c r="C20" s="4" t="s">
        <v>7</v>
      </c>
      <c r="D20" s="3">
        <v>3</v>
      </c>
      <c r="E20" s="3" t="s">
        <v>8</v>
      </c>
      <c r="F20" s="5">
        <v>120000</v>
      </c>
      <c r="G20" s="5">
        <f>F20*D20*3</f>
        <v>1080000</v>
      </c>
      <c r="H20" s="5">
        <f>G20</f>
        <v>1080000</v>
      </c>
      <c r="J20" s="3">
        <v>1</v>
      </c>
      <c r="K20" s="4" t="s">
        <v>7</v>
      </c>
      <c r="L20" s="3">
        <v>3</v>
      </c>
      <c r="M20" s="3" t="s">
        <v>8</v>
      </c>
      <c r="N20" s="5">
        <v>120000</v>
      </c>
      <c r="O20" s="5">
        <f>N20*L20*3</f>
        <v>1080000</v>
      </c>
      <c r="P20" s="5">
        <f>O20</f>
        <v>1080000</v>
      </c>
    </row>
    <row r="21" spans="2:16">
      <c r="B21" s="3">
        <v>2</v>
      </c>
      <c r="C21" s="4" t="s">
        <v>9</v>
      </c>
      <c r="D21" s="3">
        <v>3</v>
      </c>
      <c r="E21" s="3" t="s">
        <v>10</v>
      </c>
      <c r="F21" s="5">
        <v>145000</v>
      </c>
      <c r="G21" s="5">
        <f>F21*D21</f>
        <v>435000</v>
      </c>
      <c r="H21" s="5"/>
      <c r="J21" s="3">
        <v>2</v>
      </c>
      <c r="K21" s="4" t="s">
        <v>9</v>
      </c>
      <c r="L21" s="3">
        <v>3</v>
      </c>
      <c r="M21" s="3" t="s">
        <v>10</v>
      </c>
      <c r="N21" s="5">
        <v>145000</v>
      </c>
      <c r="O21" s="5">
        <f t="shared" ref="O21:O25" si="2">N21*L21</f>
        <v>435000</v>
      </c>
      <c r="P21" s="5"/>
    </row>
    <row r="22" spans="2:16">
      <c r="B22" s="3">
        <v>3</v>
      </c>
      <c r="C22" s="4" t="s">
        <v>40</v>
      </c>
      <c r="D22" s="3">
        <v>3</v>
      </c>
      <c r="E22" s="3" t="s">
        <v>12</v>
      </c>
      <c r="F22" s="5">
        <f>'Twin Bottle'!F22</f>
        <v>337500</v>
      </c>
      <c r="G22" s="5">
        <f>3*650000</f>
        <v>1950000</v>
      </c>
      <c r="H22" s="5">
        <f t="shared" ref="H22:H24" si="3">F22*D22</f>
        <v>1012500</v>
      </c>
      <c r="J22" s="3">
        <v>3</v>
      </c>
      <c r="K22" s="4" t="s">
        <v>40</v>
      </c>
      <c r="L22" s="3">
        <v>3</v>
      </c>
      <c r="M22" s="3" t="s">
        <v>12</v>
      </c>
      <c r="N22" s="5">
        <f>'Twin Bottle'!N22</f>
        <v>337500</v>
      </c>
      <c r="O22" s="5">
        <f>3*650000</f>
        <v>1950000</v>
      </c>
      <c r="P22" s="5">
        <f t="shared" ref="P22:P24" si="4">N22*L22</f>
        <v>1012500</v>
      </c>
    </row>
    <row r="23" spans="2:16">
      <c r="B23" s="3">
        <v>4</v>
      </c>
      <c r="C23" s="4" t="s">
        <v>13</v>
      </c>
      <c r="D23" s="3">
        <v>6</v>
      </c>
      <c r="E23" s="3" t="s">
        <v>12</v>
      </c>
      <c r="F23" s="5">
        <v>1100</v>
      </c>
      <c r="G23" s="5">
        <f>6*15000</f>
        <v>90000</v>
      </c>
      <c r="H23" s="5">
        <f t="shared" si="3"/>
        <v>6600</v>
      </c>
      <c r="J23" s="3">
        <v>4</v>
      </c>
      <c r="K23" s="4" t="s">
        <v>13</v>
      </c>
      <c r="L23" s="3">
        <v>2</v>
      </c>
      <c r="M23" s="3" t="s">
        <v>12</v>
      </c>
      <c r="N23" s="5">
        <v>1100</v>
      </c>
      <c r="O23" s="5">
        <f t="shared" si="2"/>
        <v>2200</v>
      </c>
      <c r="P23" s="5">
        <f t="shared" si="4"/>
        <v>2200</v>
      </c>
    </row>
    <row r="24" spans="2:16">
      <c r="B24" s="3">
        <v>5</v>
      </c>
      <c r="C24" s="4" t="s">
        <v>14</v>
      </c>
      <c r="D24" s="3">
        <v>2</v>
      </c>
      <c r="E24" s="3" t="s">
        <v>15</v>
      </c>
      <c r="F24" s="5">
        <v>10000</v>
      </c>
      <c r="G24" s="5">
        <f>2*35000</f>
        <v>70000</v>
      </c>
      <c r="H24" s="5">
        <f t="shared" si="3"/>
        <v>20000</v>
      </c>
      <c r="J24" s="3">
        <v>5</v>
      </c>
      <c r="K24" s="4" t="s">
        <v>14</v>
      </c>
      <c r="L24" s="3">
        <v>2</v>
      </c>
      <c r="M24" s="3" t="s">
        <v>15</v>
      </c>
      <c r="N24" s="5">
        <v>10000</v>
      </c>
      <c r="O24" s="5">
        <f t="shared" si="2"/>
        <v>20000</v>
      </c>
      <c r="P24" s="5">
        <f t="shared" si="4"/>
        <v>20000</v>
      </c>
    </row>
    <row r="25" spans="2:16">
      <c r="B25" s="3">
        <v>6</v>
      </c>
      <c r="C25" s="4" t="s">
        <v>33</v>
      </c>
      <c r="D25" s="3">
        <v>1</v>
      </c>
      <c r="E25" s="3" t="s">
        <v>12</v>
      </c>
      <c r="F25" s="5">
        <v>15000</v>
      </c>
      <c r="G25" s="5">
        <v>25000</v>
      </c>
      <c r="H25" s="5">
        <v>15000</v>
      </c>
      <c r="J25" s="3">
        <v>6</v>
      </c>
      <c r="K25" s="4" t="s">
        <v>33</v>
      </c>
      <c r="L25" s="3">
        <v>1</v>
      </c>
      <c r="M25" s="3" t="s">
        <v>12</v>
      </c>
      <c r="N25" s="5">
        <v>15000</v>
      </c>
      <c r="O25" s="5">
        <f t="shared" si="2"/>
        <v>15000</v>
      </c>
      <c r="P25" s="5">
        <v>25000</v>
      </c>
    </row>
    <row r="26" spans="2:16">
      <c r="B26" s="3">
        <v>7</v>
      </c>
      <c r="C26" s="4" t="s">
        <v>29</v>
      </c>
      <c r="D26" s="3">
        <v>1</v>
      </c>
      <c r="E26" s="3" t="s">
        <v>15</v>
      </c>
      <c r="F26" s="5">
        <v>5000</v>
      </c>
      <c r="G26" s="5">
        <v>15000</v>
      </c>
      <c r="H26" s="5">
        <v>5000</v>
      </c>
      <c r="J26" s="3">
        <v>7</v>
      </c>
      <c r="K26" s="4" t="s">
        <v>29</v>
      </c>
      <c r="L26" s="3">
        <v>1</v>
      </c>
      <c r="M26" s="3" t="s">
        <v>15</v>
      </c>
      <c r="N26" s="5">
        <v>5000</v>
      </c>
      <c r="O26" s="5">
        <v>10000</v>
      </c>
      <c r="P26" s="5">
        <v>5000</v>
      </c>
    </row>
    <row r="27" spans="2:16">
      <c r="B27" s="3"/>
      <c r="C27" s="4"/>
      <c r="D27" s="3"/>
      <c r="E27" s="3"/>
      <c r="F27" s="5"/>
      <c r="G27" s="5"/>
      <c r="H27" s="5"/>
      <c r="J27" s="3"/>
      <c r="K27" s="4"/>
      <c r="L27" s="3"/>
      <c r="M27" s="3"/>
      <c r="N27" s="5"/>
      <c r="O27" s="5"/>
      <c r="P27" s="5"/>
    </row>
    <row r="28" spans="2:16">
      <c r="B28" s="3"/>
      <c r="C28" s="4" t="s">
        <v>17</v>
      </c>
      <c r="D28" s="3"/>
      <c r="E28" s="3"/>
      <c r="F28" s="5">
        <f>SUM(F20:F27)</f>
        <v>633600</v>
      </c>
      <c r="G28" s="5">
        <f>SUM(G20:G27)</f>
        <v>3665000</v>
      </c>
      <c r="H28" s="5"/>
      <c r="J28" s="3"/>
      <c r="K28" s="4" t="s">
        <v>17</v>
      </c>
      <c r="L28" s="3"/>
      <c r="M28" s="3"/>
      <c r="N28" s="5">
        <f>SUM(N20:N27)</f>
        <v>633600</v>
      </c>
      <c r="O28" s="5">
        <f>SUM(O20:O27)</f>
        <v>3512200</v>
      </c>
      <c r="P28" s="5"/>
    </row>
    <row r="29" spans="2:16" ht="15.75">
      <c r="B29" s="19" t="s">
        <v>36</v>
      </c>
      <c r="C29" s="20"/>
      <c r="D29" s="20"/>
      <c r="E29" s="20"/>
      <c r="F29" s="5" t="s">
        <v>17</v>
      </c>
      <c r="G29" s="5">
        <f>G28</f>
        <v>3665000</v>
      </c>
      <c r="H29" s="8">
        <f>SUM(H20:H28)</f>
        <v>2139100</v>
      </c>
      <c r="J29" s="19" t="s">
        <v>37</v>
      </c>
      <c r="K29" s="20"/>
      <c r="L29" s="20"/>
      <c r="M29" s="20"/>
      <c r="N29" s="5" t="s">
        <v>17</v>
      </c>
      <c r="O29" s="5">
        <f>SUM(O20:O24)</f>
        <v>3487200</v>
      </c>
      <c r="P29" s="8">
        <f>SUM(P20:P28)</f>
        <v>2144700</v>
      </c>
    </row>
    <row r="30" spans="2:16" ht="15.75">
      <c r="B30" s="23"/>
      <c r="C30" s="24"/>
      <c r="D30" s="24"/>
      <c r="E30" s="24"/>
      <c r="F30" s="5" t="s">
        <v>18</v>
      </c>
      <c r="G30" s="5"/>
      <c r="H30" s="5">
        <f>H29*5%</f>
        <v>106955</v>
      </c>
      <c r="J30" s="23"/>
      <c r="K30" s="24"/>
      <c r="L30" s="24"/>
      <c r="M30" s="24"/>
      <c r="N30" s="5" t="s">
        <v>18</v>
      </c>
      <c r="O30" s="5"/>
      <c r="P30" s="5">
        <f>P29*5%</f>
        <v>107235</v>
      </c>
    </row>
    <row r="31" spans="2:16" ht="15.75">
      <c r="B31" s="23"/>
      <c r="C31" s="24"/>
      <c r="D31" s="24"/>
      <c r="E31" s="24"/>
      <c r="F31" s="5" t="s">
        <v>19</v>
      </c>
      <c r="G31" s="5"/>
      <c r="H31" s="5">
        <f>SUM(H29:H30)</f>
        <v>2246055</v>
      </c>
      <c r="J31" s="23"/>
      <c r="K31" s="24"/>
      <c r="L31" s="24"/>
      <c r="M31" s="24"/>
      <c r="N31" s="5" t="s">
        <v>19</v>
      </c>
      <c r="O31" s="5"/>
      <c r="P31" s="5">
        <f>SUM(P29:P30)</f>
        <v>2251935</v>
      </c>
    </row>
    <row r="32" spans="2:16" ht="15.75">
      <c r="B32" s="23"/>
      <c r="C32" s="24"/>
      <c r="D32" s="24"/>
      <c r="E32" s="24"/>
      <c r="F32" s="11" t="s">
        <v>20</v>
      </c>
      <c r="G32" s="11"/>
      <c r="H32" s="11">
        <v>3450000</v>
      </c>
      <c r="J32" s="23"/>
      <c r="K32" s="24"/>
      <c r="L32" s="24"/>
      <c r="M32" s="24"/>
      <c r="N32" s="11" t="s">
        <v>20</v>
      </c>
      <c r="O32" s="11"/>
      <c r="P32" s="11">
        <v>3450000</v>
      </c>
    </row>
    <row r="33" spans="2:16" ht="15.75">
      <c r="B33" s="21" t="s">
        <v>39</v>
      </c>
      <c r="C33" s="22"/>
      <c r="D33" s="22"/>
      <c r="E33" s="22"/>
      <c r="F33" s="12" t="s">
        <v>21</v>
      </c>
      <c r="G33" s="12"/>
      <c r="H33" s="12">
        <f>H32-H31</f>
        <v>1203945</v>
      </c>
      <c r="J33" s="21" t="s">
        <v>39</v>
      </c>
      <c r="K33" s="22"/>
      <c r="L33" s="22"/>
      <c r="M33" s="22"/>
      <c r="N33" s="12" t="s">
        <v>21</v>
      </c>
      <c r="O33" s="12"/>
      <c r="P33" s="12">
        <f>P32-P31</f>
        <v>1198065</v>
      </c>
    </row>
    <row r="34" spans="2:16" ht="15.75">
      <c r="B34" s="25"/>
      <c r="C34" s="26"/>
      <c r="D34" s="26"/>
      <c r="E34" s="26"/>
      <c r="F34" s="15" t="s">
        <v>22</v>
      </c>
      <c r="G34" s="15"/>
      <c r="H34" s="17">
        <f>H33/H32</f>
        <v>0.34896956521739131</v>
      </c>
      <c r="J34" s="25"/>
      <c r="K34" s="26"/>
      <c r="L34" s="26"/>
      <c r="M34" s="26"/>
      <c r="N34" s="15" t="s">
        <v>22</v>
      </c>
      <c r="O34" s="15"/>
      <c r="P34" s="17">
        <f>P33/P32</f>
        <v>0.34726521739130434</v>
      </c>
    </row>
  </sheetData>
  <mergeCells count="10">
    <mergeCell ref="B29:E29"/>
    <mergeCell ref="J29:M29"/>
    <mergeCell ref="B33:E33"/>
    <mergeCell ref="J33:M33"/>
    <mergeCell ref="B12:E12"/>
    <mergeCell ref="J12:M12"/>
    <mergeCell ref="B13:E13"/>
    <mergeCell ref="J13:M13"/>
    <mergeCell ref="B15:E15"/>
    <mergeCell ref="J15:M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4D3E-2038-44B4-934B-06E104FFD40D}">
  <dimension ref="A2:O41"/>
  <sheetViews>
    <sheetView tabSelected="1" workbookViewId="0">
      <selection activeCell="H19" sqref="H19"/>
    </sheetView>
  </sheetViews>
  <sheetFormatPr defaultColWidth="9.140625" defaultRowHeight="15"/>
  <cols>
    <col min="1" max="1" width="5.28515625" customWidth="1"/>
    <col min="2" max="2" width="21.28515625" customWidth="1"/>
    <col min="5" max="5" width="14.140625" customWidth="1"/>
    <col min="6" max="6" width="11.85546875" customWidth="1"/>
    <col min="7" max="7" width="10.5703125" customWidth="1"/>
    <col min="9" max="9" width="5.28515625" customWidth="1"/>
    <col min="10" max="10" width="21.28515625" customWidth="1"/>
    <col min="13" max="13" width="14.140625" customWidth="1"/>
    <col min="14" max="14" width="11.85546875" customWidth="1"/>
    <col min="15" max="15" width="10.5703125" customWidth="1"/>
  </cols>
  <sheetData>
    <row r="2" spans="1: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I2" s="1" t="s">
        <v>0</v>
      </c>
      <c r="J2" s="1" t="s">
        <v>1</v>
      </c>
      <c r="K2" s="1" t="s">
        <v>2</v>
      </c>
      <c r="L2" s="1" t="s">
        <v>3</v>
      </c>
      <c r="M2" s="2" t="s">
        <v>4</v>
      </c>
      <c r="N2" s="2" t="s">
        <v>5</v>
      </c>
      <c r="O2" s="2" t="s">
        <v>6</v>
      </c>
    </row>
    <row r="3" spans="1:15">
      <c r="A3" s="3">
        <v>1</v>
      </c>
      <c r="B3" s="4" t="s">
        <v>7</v>
      </c>
      <c r="C3" s="3">
        <v>5</v>
      </c>
      <c r="D3" s="3" t="s">
        <v>8</v>
      </c>
      <c r="E3" s="5">
        <v>120000</v>
      </c>
      <c r="F3" s="5">
        <f>E3*C3*C4</f>
        <v>3000000</v>
      </c>
      <c r="G3" s="5">
        <f>F3</f>
        <v>3000000</v>
      </c>
      <c r="I3" s="3">
        <v>1</v>
      </c>
      <c r="J3" s="4" t="s">
        <v>7</v>
      </c>
      <c r="K3" s="3">
        <v>5</v>
      </c>
      <c r="L3" s="3" t="s">
        <v>8</v>
      </c>
      <c r="M3" s="5">
        <v>120000</v>
      </c>
      <c r="N3" s="5">
        <f>M3*K3*K4</f>
        <v>3000000</v>
      </c>
      <c r="O3" s="5">
        <f>N3</f>
        <v>3000000</v>
      </c>
    </row>
    <row r="4" spans="1:15">
      <c r="A4" s="3">
        <v>2</v>
      </c>
      <c r="B4" s="4" t="s">
        <v>9</v>
      </c>
      <c r="C4" s="3">
        <v>5</v>
      </c>
      <c r="D4" s="3" t="s">
        <v>10</v>
      </c>
      <c r="E4" s="5">
        <v>145000</v>
      </c>
      <c r="F4" s="5">
        <f>E4*C4</f>
        <v>725000</v>
      </c>
      <c r="G4" s="5"/>
      <c r="I4" s="3">
        <v>2</v>
      </c>
      <c r="J4" s="4" t="s">
        <v>9</v>
      </c>
      <c r="K4" s="3">
        <v>5</v>
      </c>
      <c r="L4" s="3" t="s">
        <v>10</v>
      </c>
      <c r="M4" s="5">
        <v>145000</v>
      </c>
      <c r="N4" s="5">
        <f>M4*K4</f>
        <v>725000</v>
      </c>
      <c r="O4" s="5"/>
    </row>
    <row r="5" spans="1:15">
      <c r="A5" s="3">
        <v>3</v>
      </c>
      <c r="B5" s="4" t="s">
        <v>41</v>
      </c>
      <c r="C5" s="3">
        <v>2</v>
      </c>
      <c r="D5" s="3" t="s">
        <v>12</v>
      </c>
      <c r="E5" s="5">
        <v>331667</v>
      </c>
      <c r="F5" s="5">
        <f>3*650000</f>
        <v>1950000</v>
      </c>
      <c r="G5" s="5">
        <f t="shared" ref="G5:G12" si="0">E5*C5</f>
        <v>663334</v>
      </c>
      <c r="I5" s="3">
        <v>3</v>
      </c>
      <c r="J5" s="4" t="s">
        <v>42</v>
      </c>
      <c r="K5" s="3">
        <v>2</v>
      </c>
      <c r="L5" s="3" t="s">
        <v>12</v>
      </c>
      <c r="M5" s="5">
        <v>1016667</v>
      </c>
      <c r="N5" s="5">
        <f>3*1700000</f>
        <v>5100000</v>
      </c>
      <c r="O5" s="5">
        <f>M5*K5</f>
        <v>2033334</v>
      </c>
    </row>
    <row r="6" spans="1:15">
      <c r="A6" s="3">
        <v>4</v>
      </c>
      <c r="B6" s="4" t="s">
        <v>11</v>
      </c>
      <c r="C6" s="3">
        <v>12</v>
      </c>
      <c r="D6" s="3" t="s">
        <v>12</v>
      </c>
      <c r="E6" s="5">
        <v>32000</v>
      </c>
      <c r="F6" s="5">
        <f>12*75000</f>
        <v>900000</v>
      </c>
      <c r="G6" s="5">
        <f t="shared" si="0"/>
        <v>384000</v>
      </c>
      <c r="I6" s="3">
        <v>4</v>
      </c>
      <c r="J6" s="4" t="s">
        <v>11</v>
      </c>
      <c r="K6" s="3">
        <v>12</v>
      </c>
      <c r="L6" s="3" t="s">
        <v>12</v>
      </c>
      <c r="M6" s="5">
        <v>32000</v>
      </c>
      <c r="N6" s="5">
        <f>12*75000</f>
        <v>900000</v>
      </c>
      <c r="O6" s="5">
        <f>M6*K6</f>
        <v>384000</v>
      </c>
    </row>
    <row r="7" spans="1:15">
      <c r="A7" s="3">
        <v>5</v>
      </c>
      <c r="B7" s="4" t="s">
        <v>43</v>
      </c>
      <c r="C7" s="3">
        <v>2</v>
      </c>
      <c r="D7" s="3" t="s">
        <v>12</v>
      </c>
      <c r="E7" s="5">
        <v>291667</v>
      </c>
      <c r="F7" s="5">
        <f>C7*650000</f>
        <v>1300000</v>
      </c>
      <c r="G7" s="5">
        <f t="shared" si="0"/>
        <v>583334</v>
      </c>
      <c r="I7" s="3">
        <v>5</v>
      </c>
      <c r="J7" s="4" t="s">
        <v>44</v>
      </c>
      <c r="K7" s="3">
        <v>2</v>
      </c>
      <c r="L7" s="3" t="s">
        <v>12</v>
      </c>
      <c r="M7" s="5">
        <v>441667</v>
      </c>
      <c r="N7" s="5">
        <f>K7*650000</f>
        <v>1300000</v>
      </c>
      <c r="O7" s="5">
        <f t="shared" ref="O7:O12" si="1">M7*K7</f>
        <v>883334</v>
      </c>
    </row>
    <row r="8" spans="1:15">
      <c r="A8" s="3">
        <v>6</v>
      </c>
      <c r="B8" s="4" t="s">
        <v>13</v>
      </c>
      <c r="C8" s="3">
        <v>12</v>
      </c>
      <c r="D8" s="3" t="s">
        <v>12</v>
      </c>
      <c r="E8" s="5">
        <v>1100</v>
      </c>
      <c r="F8" s="5">
        <v>60000</v>
      </c>
      <c r="G8" s="5">
        <f t="shared" si="0"/>
        <v>13200</v>
      </c>
      <c r="I8" s="3">
        <v>6</v>
      </c>
      <c r="J8" s="4" t="s">
        <v>13</v>
      </c>
      <c r="K8" s="3">
        <v>6</v>
      </c>
      <c r="L8" s="3" t="s">
        <v>12</v>
      </c>
      <c r="M8" s="5">
        <v>1100</v>
      </c>
      <c r="N8" s="5">
        <v>60000</v>
      </c>
      <c r="O8" s="5">
        <f t="shared" si="1"/>
        <v>6600</v>
      </c>
    </row>
    <row r="9" spans="1:15">
      <c r="A9" s="3">
        <v>7</v>
      </c>
      <c r="B9" s="4" t="s">
        <v>14</v>
      </c>
      <c r="C9" s="3">
        <v>3</v>
      </c>
      <c r="D9" s="3" t="s">
        <v>15</v>
      </c>
      <c r="E9" s="5">
        <v>10000</v>
      </c>
      <c r="F9" s="5">
        <f>C9*35000</f>
        <v>105000</v>
      </c>
      <c r="G9" s="5">
        <f t="shared" si="0"/>
        <v>30000</v>
      </c>
      <c r="I9" s="3">
        <v>7</v>
      </c>
      <c r="J9" s="4" t="s">
        <v>14</v>
      </c>
      <c r="K9" s="3">
        <v>3</v>
      </c>
      <c r="L9" s="3" t="s">
        <v>15</v>
      </c>
      <c r="M9" s="5">
        <v>10000</v>
      </c>
      <c r="N9" s="5">
        <f>K9*35000</f>
        <v>105000</v>
      </c>
      <c r="O9" s="5">
        <f t="shared" si="1"/>
        <v>30000</v>
      </c>
    </row>
    <row r="10" spans="1:15">
      <c r="A10" s="3">
        <v>8</v>
      </c>
      <c r="B10" s="4" t="s">
        <v>45</v>
      </c>
      <c r="C10" s="3">
        <v>3</v>
      </c>
      <c r="D10" s="3" t="s">
        <v>12</v>
      </c>
      <c r="E10" s="5">
        <v>15000</v>
      </c>
      <c r="F10" s="5">
        <v>90000</v>
      </c>
      <c r="G10" s="5">
        <f t="shared" si="0"/>
        <v>45000</v>
      </c>
      <c r="I10" s="3">
        <v>8</v>
      </c>
      <c r="J10" s="4" t="s">
        <v>45</v>
      </c>
      <c r="K10" s="3">
        <v>3</v>
      </c>
      <c r="L10" s="3" t="s">
        <v>12</v>
      </c>
      <c r="M10" s="5">
        <v>15000</v>
      </c>
      <c r="N10" s="5">
        <v>90000</v>
      </c>
      <c r="O10" s="5">
        <f t="shared" si="1"/>
        <v>45000</v>
      </c>
    </row>
    <row r="11" spans="1:15">
      <c r="A11" s="3">
        <v>9</v>
      </c>
      <c r="B11" s="4" t="s">
        <v>29</v>
      </c>
      <c r="C11" s="3">
        <v>2</v>
      </c>
      <c r="D11" s="3" t="s">
        <v>15</v>
      </c>
      <c r="E11" s="5">
        <v>5000</v>
      </c>
      <c r="F11" s="5">
        <v>30000</v>
      </c>
      <c r="G11" s="5">
        <f t="shared" si="0"/>
        <v>10000</v>
      </c>
      <c r="I11" s="3">
        <v>9</v>
      </c>
      <c r="J11" s="4" t="s">
        <v>29</v>
      </c>
      <c r="K11" s="3">
        <v>2</v>
      </c>
      <c r="L11" s="3" t="s">
        <v>15</v>
      </c>
      <c r="M11" s="5">
        <v>5000</v>
      </c>
      <c r="N11" s="5">
        <v>30000</v>
      </c>
      <c r="O11" s="5">
        <v>10000</v>
      </c>
    </row>
    <row r="12" spans="1:15">
      <c r="A12" s="3">
        <v>10</v>
      </c>
      <c r="B12" s="4" t="s">
        <v>46</v>
      </c>
      <c r="C12" s="3">
        <v>3</v>
      </c>
      <c r="D12" s="3" t="s">
        <v>47</v>
      </c>
      <c r="E12" s="5">
        <v>5000</v>
      </c>
      <c r="F12" s="5"/>
      <c r="G12" s="5">
        <f t="shared" si="0"/>
        <v>15000</v>
      </c>
      <c r="I12" s="3">
        <v>10</v>
      </c>
      <c r="J12" s="4" t="s">
        <v>46</v>
      </c>
      <c r="K12" s="3">
        <v>4</v>
      </c>
      <c r="L12" s="3" t="s">
        <v>47</v>
      </c>
      <c r="M12" s="5">
        <v>5000</v>
      </c>
      <c r="N12" s="5"/>
      <c r="O12" s="5">
        <f t="shared" si="1"/>
        <v>20000</v>
      </c>
    </row>
    <row r="13" spans="1:15">
      <c r="A13" s="3"/>
      <c r="B13" s="4"/>
      <c r="C13" s="3"/>
      <c r="D13" s="3"/>
      <c r="E13" s="5"/>
      <c r="F13" s="5"/>
      <c r="G13" s="5"/>
      <c r="I13" s="3"/>
      <c r="J13" s="4"/>
      <c r="K13" s="3"/>
      <c r="L13" s="3"/>
      <c r="M13" s="5"/>
      <c r="N13" s="5"/>
      <c r="O13" s="5"/>
    </row>
    <row r="14" spans="1:15">
      <c r="A14" s="3"/>
      <c r="B14" s="4" t="s">
        <v>17</v>
      </c>
      <c r="C14" s="3"/>
      <c r="D14" s="3"/>
      <c r="E14" s="5"/>
      <c r="F14" s="5">
        <f>SUM(F3:F13)</f>
        <v>8160000</v>
      </c>
      <c r="G14" s="5"/>
      <c r="I14" s="3"/>
      <c r="J14" s="4" t="s">
        <v>17</v>
      </c>
      <c r="K14" s="3"/>
      <c r="L14" s="3"/>
      <c r="M14" s="5"/>
      <c r="N14" s="5">
        <f>SUM(N3:N13)</f>
        <v>11310000</v>
      </c>
      <c r="O14" s="5"/>
    </row>
    <row r="15" spans="1:15" ht="15.75">
      <c r="A15" s="19" t="s">
        <v>48</v>
      </c>
      <c r="B15" s="20"/>
      <c r="C15" s="20"/>
      <c r="D15" s="20"/>
      <c r="E15" s="5" t="s">
        <v>17</v>
      </c>
      <c r="F15" s="5">
        <f>F14</f>
        <v>8160000</v>
      </c>
      <c r="G15" s="8">
        <f>SUM(G3:G13)</f>
        <v>4743868</v>
      </c>
      <c r="I15" s="19" t="s">
        <v>48</v>
      </c>
      <c r="J15" s="20"/>
      <c r="K15" s="20"/>
      <c r="L15" s="20"/>
      <c r="M15" s="5" t="s">
        <v>17</v>
      </c>
      <c r="N15" s="5">
        <f>N14</f>
        <v>11310000</v>
      </c>
      <c r="O15" s="8">
        <f>SUM(O3:O13)</f>
        <v>6412268</v>
      </c>
    </row>
    <row r="16" spans="1:15" ht="15.75">
      <c r="A16" s="21" t="s">
        <v>38</v>
      </c>
      <c r="B16" s="22"/>
      <c r="C16" s="22"/>
      <c r="D16" s="22"/>
      <c r="E16" s="5" t="s">
        <v>18</v>
      </c>
      <c r="F16" s="5"/>
      <c r="G16" s="5">
        <f>G15*5%</f>
        <v>237193.40000000002</v>
      </c>
      <c r="I16" s="19" t="s">
        <v>49</v>
      </c>
      <c r="J16" s="22"/>
      <c r="K16" s="20"/>
      <c r="L16" s="20"/>
      <c r="M16" s="5" t="s">
        <v>18</v>
      </c>
      <c r="N16" s="5"/>
      <c r="O16" s="5">
        <f>O15*5%</f>
        <v>320613.40000000002</v>
      </c>
    </row>
    <row r="17" spans="1:15" ht="15.75">
      <c r="A17" s="21" t="s">
        <v>24</v>
      </c>
      <c r="B17" s="22"/>
      <c r="C17" s="22"/>
      <c r="D17" s="22"/>
      <c r="E17" s="5" t="s">
        <v>19</v>
      </c>
      <c r="F17" s="5"/>
      <c r="G17" s="5">
        <f>SUM(G15:G16)</f>
        <v>4981061.4000000004</v>
      </c>
      <c r="I17" s="21" t="s">
        <v>50</v>
      </c>
      <c r="J17" s="22"/>
      <c r="K17" s="22"/>
      <c r="L17" s="22"/>
      <c r="M17" s="5" t="s">
        <v>19</v>
      </c>
      <c r="N17" s="5"/>
      <c r="O17" s="5">
        <f>SUM(O15:O16)</f>
        <v>6732881.4000000004</v>
      </c>
    </row>
    <row r="18" spans="1:15" ht="15.75">
      <c r="A18" s="21" t="s">
        <v>51</v>
      </c>
      <c r="B18" s="22"/>
      <c r="C18" s="22"/>
      <c r="D18" s="22"/>
      <c r="E18" s="11" t="s">
        <v>20</v>
      </c>
      <c r="F18" s="11"/>
      <c r="G18" s="11">
        <v>7500000</v>
      </c>
      <c r="I18" s="21" t="s">
        <v>52</v>
      </c>
      <c r="J18" s="22"/>
      <c r="K18" s="22"/>
      <c r="L18" s="22"/>
      <c r="M18" s="11" t="s">
        <v>20</v>
      </c>
      <c r="N18" s="11"/>
      <c r="O18" s="11">
        <v>10000000</v>
      </c>
    </row>
    <row r="19" spans="1:15" ht="15.75">
      <c r="A19" s="21" t="s">
        <v>31</v>
      </c>
      <c r="B19" s="22"/>
      <c r="C19" s="22"/>
      <c r="D19" s="22"/>
      <c r="E19" s="12" t="s">
        <v>21</v>
      </c>
      <c r="F19" s="12"/>
      <c r="G19" s="12">
        <f>G18-G17</f>
        <v>2518938.5999999996</v>
      </c>
      <c r="I19" s="21" t="s">
        <v>40</v>
      </c>
      <c r="J19" s="22"/>
      <c r="K19" s="22"/>
      <c r="L19" s="22"/>
      <c r="M19" s="12" t="s">
        <v>21</v>
      </c>
      <c r="N19" s="12"/>
      <c r="O19" s="12">
        <f>O18-O17</f>
        <v>3267118.5999999996</v>
      </c>
    </row>
    <row r="20" spans="1:15" ht="15.75">
      <c r="A20" s="27" t="s">
        <v>39</v>
      </c>
      <c r="B20" s="28"/>
      <c r="C20" s="28"/>
      <c r="D20" s="28"/>
      <c r="E20" s="15" t="s">
        <v>22</v>
      </c>
      <c r="F20" s="15"/>
      <c r="G20" s="16">
        <f>G19/G18</f>
        <v>0.33585847999999996</v>
      </c>
      <c r="I20" s="27" t="s">
        <v>53</v>
      </c>
      <c r="J20" s="28"/>
      <c r="K20" s="28"/>
      <c r="L20" s="28"/>
      <c r="M20" s="15" t="s">
        <v>22</v>
      </c>
      <c r="N20" s="15"/>
      <c r="O20" s="16">
        <f>O19/O18</f>
        <v>0.32671185999999997</v>
      </c>
    </row>
    <row r="23" spans="1:15">
      <c r="A23" s="1" t="s">
        <v>0</v>
      </c>
      <c r="B23" s="1" t="s">
        <v>1</v>
      </c>
      <c r="C23" s="1" t="s">
        <v>2</v>
      </c>
      <c r="D23" s="1" t="s">
        <v>3</v>
      </c>
      <c r="E23" s="2" t="s">
        <v>4</v>
      </c>
      <c r="F23" s="2" t="s">
        <v>5</v>
      </c>
      <c r="G23" s="2" t="s">
        <v>6</v>
      </c>
    </row>
    <row r="24" spans="1:15">
      <c r="A24" s="3">
        <v>1</v>
      </c>
      <c r="B24" s="4" t="s">
        <v>7</v>
      </c>
      <c r="C24" s="3">
        <v>5</v>
      </c>
      <c r="D24" s="3" t="s">
        <v>8</v>
      </c>
      <c r="E24" s="5">
        <v>120000</v>
      </c>
      <c r="F24" s="5">
        <f>E24*C24*C25</f>
        <v>3000000</v>
      </c>
      <c r="G24" s="5">
        <f>F24</f>
        <v>3000000</v>
      </c>
    </row>
    <row r="25" spans="1:15">
      <c r="A25" s="3">
        <v>2</v>
      </c>
      <c r="B25" s="4" t="s">
        <v>9</v>
      </c>
      <c r="C25" s="3">
        <v>5</v>
      </c>
      <c r="D25" s="3" t="s">
        <v>10</v>
      </c>
      <c r="E25" s="5">
        <v>145000</v>
      </c>
      <c r="F25" s="5">
        <f>E25*C25</f>
        <v>725000</v>
      </c>
      <c r="G25" s="5"/>
    </row>
    <row r="26" spans="1:15">
      <c r="A26" s="3">
        <v>3</v>
      </c>
      <c r="B26" s="4" t="s">
        <v>54</v>
      </c>
      <c r="C26" s="3">
        <v>2</v>
      </c>
      <c r="D26" s="3" t="s">
        <v>12</v>
      </c>
      <c r="E26" s="5">
        <v>1458333</v>
      </c>
      <c r="F26" s="5">
        <f>3*2000000</f>
        <v>6000000</v>
      </c>
      <c r="G26" s="5">
        <f t="shared" ref="G26:G31" si="2">E26*C26</f>
        <v>2916666</v>
      </c>
    </row>
    <row r="27" spans="1:15">
      <c r="A27" s="3">
        <v>4</v>
      </c>
      <c r="B27" s="4" t="s">
        <v>11</v>
      </c>
      <c r="C27" s="3">
        <v>12</v>
      </c>
      <c r="D27" s="3" t="s">
        <v>12</v>
      </c>
      <c r="E27" s="5">
        <v>32000</v>
      </c>
      <c r="F27" s="5">
        <f>12*75000</f>
        <v>900000</v>
      </c>
      <c r="G27" s="5">
        <f t="shared" si="2"/>
        <v>384000</v>
      </c>
    </row>
    <row r="28" spans="1:15">
      <c r="A28" s="3">
        <v>5</v>
      </c>
      <c r="B28" s="4" t="s">
        <v>41</v>
      </c>
      <c r="C28" s="3">
        <v>2</v>
      </c>
      <c r="D28" s="3" t="s">
        <v>12</v>
      </c>
      <c r="E28" s="5">
        <v>331667</v>
      </c>
      <c r="F28" s="5">
        <f>C28*650000</f>
        <v>1300000</v>
      </c>
      <c r="G28" s="5">
        <f t="shared" si="2"/>
        <v>663334</v>
      </c>
    </row>
    <row r="29" spans="1:15">
      <c r="A29" s="3">
        <v>6</v>
      </c>
      <c r="B29" s="4" t="s">
        <v>13</v>
      </c>
      <c r="C29" s="3">
        <v>6</v>
      </c>
      <c r="D29" s="3" t="s">
        <v>12</v>
      </c>
      <c r="E29" s="5">
        <v>1100</v>
      </c>
      <c r="F29" s="5">
        <v>60000</v>
      </c>
      <c r="G29" s="5">
        <f t="shared" si="2"/>
        <v>6600</v>
      </c>
    </row>
    <row r="30" spans="1:15">
      <c r="A30" s="3">
        <v>7</v>
      </c>
      <c r="B30" s="4" t="s">
        <v>14</v>
      </c>
      <c r="C30" s="3">
        <v>3</v>
      </c>
      <c r="D30" s="3" t="s">
        <v>15</v>
      </c>
      <c r="E30" s="5">
        <v>10000</v>
      </c>
      <c r="F30" s="5">
        <f>C30*35000</f>
        <v>105000</v>
      </c>
      <c r="G30" s="5">
        <f t="shared" si="2"/>
        <v>30000</v>
      </c>
    </row>
    <row r="31" spans="1:15">
      <c r="A31" s="3">
        <v>8</v>
      </c>
      <c r="B31" s="4" t="s">
        <v>45</v>
      </c>
      <c r="C31" s="3">
        <v>3</v>
      </c>
      <c r="D31" s="3" t="s">
        <v>12</v>
      </c>
      <c r="E31" s="5">
        <v>15000</v>
      </c>
      <c r="F31" s="5">
        <v>90000</v>
      </c>
      <c r="G31" s="5">
        <f t="shared" si="2"/>
        <v>45000</v>
      </c>
    </row>
    <row r="32" spans="1:15">
      <c r="A32" s="3">
        <v>9</v>
      </c>
      <c r="B32" s="4" t="s">
        <v>29</v>
      </c>
      <c r="C32" s="3">
        <v>2</v>
      </c>
      <c r="D32" s="3" t="s">
        <v>15</v>
      </c>
      <c r="E32" s="5">
        <v>5000</v>
      </c>
      <c r="F32" s="5">
        <v>30000</v>
      </c>
      <c r="G32" s="5">
        <v>10000</v>
      </c>
    </row>
    <row r="33" spans="1:7">
      <c r="A33" s="3">
        <v>10</v>
      </c>
      <c r="B33" s="4" t="s">
        <v>46</v>
      </c>
      <c r="C33" s="3">
        <v>4</v>
      </c>
      <c r="D33" s="3" t="s">
        <v>47</v>
      </c>
      <c r="E33" s="5">
        <v>5000</v>
      </c>
      <c r="F33" s="5"/>
      <c r="G33" s="5">
        <f>E33*C33</f>
        <v>20000</v>
      </c>
    </row>
    <row r="34" spans="1:7">
      <c r="A34" s="3"/>
      <c r="B34" s="4"/>
      <c r="C34" s="3"/>
      <c r="D34" s="3"/>
      <c r="E34" s="5"/>
      <c r="F34" s="5"/>
      <c r="G34" s="5"/>
    </row>
    <row r="35" spans="1:7">
      <c r="A35" s="3"/>
      <c r="B35" s="4" t="s">
        <v>17</v>
      </c>
      <c r="C35" s="3"/>
      <c r="D35" s="3"/>
      <c r="E35" s="5"/>
      <c r="F35" s="5">
        <f>SUM(F24:F34)</f>
        <v>12210000</v>
      </c>
      <c r="G35" s="5"/>
    </row>
    <row r="36" spans="1:7" ht="15.75">
      <c r="A36" s="19" t="s">
        <v>48</v>
      </c>
      <c r="B36" s="20"/>
      <c r="C36" s="20"/>
      <c r="D36" s="20"/>
      <c r="E36" s="5" t="s">
        <v>17</v>
      </c>
      <c r="F36" s="5">
        <f>F35</f>
        <v>12210000</v>
      </c>
      <c r="G36" s="8">
        <f>SUM(G24:G34)</f>
        <v>7075600</v>
      </c>
    </row>
    <row r="37" spans="1:7" ht="15.75">
      <c r="A37" s="21" t="s">
        <v>55</v>
      </c>
      <c r="B37" s="22"/>
      <c r="C37" s="22"/>
      <c r="D37" s="22"/>
      <c r="E37" s="5" t="s">
        <v>18</v>
      </c>
      <c r="F37" s="5"/>
      <c r="G37" s="5">
        <f>G36*5%</f>
        <v>353780</v>
      </c>
    </row>
    <row r="38" spans="1:7" ht="15.75">
      <c r="A38" s="21" t="s">
        <v>56</v>
      </c>
      <c r="B38" s="22"/>
      <c r="C38" s="22"/>
      <c r="D38" s="22"/>
      <c r="E38" s="5" t="s">
        <v>19</v>
      </c>
      <c r="F38" s="5"/>
      <c r="G38" s="5">
        <f>SUM(G36:G37)</f>
        <v>7429380</v>
      </c>
    </row>
    <row r="39" spans="1:7" ht="15.75">
      <c r="A39" s="21" t="s">
        <v>38</v>
      </c>
      <c r="B39" s="22"/>
      <c r="C39" s="22"/>
      <c r="D39" s="22"/>
      <c r="E39" s="11" t="s">
        <v>20</v>
      </c>
      <c r="F39" s="11"/>
      <c r="G39" s="11">
        <v>11500000</v>
      </c>
    </row>
    <row r="40" spans="1:7" ht="15.75">
      <c r="A40" s="21" t="s">
        <v>24</v>
      </c>
      <c r="B40" s="22"/>
      <c r="C40" s="22"/>
      <c r="D40" s="22"/>
      <c r="E40" s="12" t="s">
        <v>21</v>
      </c>
      <c r="F40" s="12"/>
      <c r="G40" s="12">
        <f>G39-G38</f>
        <v>4070620</v>
      </c>
    </row>
    <row r="41" spans="1:7" ht="15.75">
      <c r="A41" s="27" t="s">
        <v>57</v>
      </c>
      <c r="B41" s="28"/>
      <c r="C41" s="28"/>
      <c r="D41" s="28"/>
      <c r="E41" s="15" t="s">
        <v>22</v>
      </c>
      <c r="F41" s="15"/>
      <c r="G41" s="16">
        <f>G40/G39</f>
        <v>0.35396695652173915</v>
      </c>
    </row>
  </sheetData>
  <mergeCells count="18">
    <mergeCell ref="A36:D36"/>
    <mergeCell ref="A37:D37"/>
    <mergeCell ref="A38:D38"/>
    <mergeCell ref="A39:D39"/>
    <mergeCell ref="A40:D40"/>
    <mergeCell ref="A41:D41"/>
    <mergeCell ref="A18:D18"/>
    <mergeCell ref="I18:L18"/>
    <mergeCell ref="A19:D19"/>
    <mergeCell ref="I19:L19"/>
    <mergeCell ref="A20:D20"/>
    <mergeCell ref="I20:L20"/>
    <mergeCell ref="A15:D15"/>
    <mergeCell ref="I15:L15"/>
    <mergeCell ref="A16:D16"/>
    <mergeCell ref="I16:L16"/>
    <mergeCell ref="A17:D17"/>
    <mergeCell ref="I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Beer Holic</vt:lpstr>
      <vt:lpstr>Single  Bottle</vt:lpstr>
      <vt:lpstr>Twin Bottle</vt:lpstr>
      <vt:lpstr>Triple Bottle</vt:lpstr>
      <vt:lpstr>Privat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2026-07-21T07:13:57Z</dcterms:created>
  <dcterms:modified xsi:type="dcterms:W3CDTF">2026-07-21T07:18:00Z</dcterms:modified>
</cp:coreProperties>
</file>